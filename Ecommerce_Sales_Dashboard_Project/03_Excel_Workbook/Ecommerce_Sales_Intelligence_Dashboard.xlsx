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DATA_CLEANING" sheetId="2" r:id="rId2"/>
    <sheet name="PIVOT_ENGINE" sheetId="3" r:id="rId3"/>
    <sheet name="KPI_ENGINE" sheetId="4" r:id="rId4"/>
    <sheet name="DASHBOARD" sheetId="5" r:id="rId5"/>
    <sheet name="AI_INSIGHTS" sheetId="6" r:id="rId6"/>
  </sheets>
  <calcPr calcId="124519" fullCalcOnLoad="1"/>
</workbook>
</file>

<file path=xl/sharedStrings.xml><?xml version="1.0" encoding="utf-8"?>
<sst xmlns="http://schemas.openxmlformats.org/spreadsheetml/2006/main" count="3581" uniqueCount="1036">
  <si>
    <t>Order_ID</t>
  </si>
  <si>
    <t>Order_Date</t>
  </si>
  <si>
    <t>Customer_ID</t>
  </si>
  <si>
    <t>Gender</t>
  </si>
  <si>
    <t>Region</t>
  </si>
  <si>
    <t>Product</t>
  </si>
  <si>
    <t>Category</t>
  </si>
  <si>
    <t>Quantity</t>
  </si>
  <si>
    <t>Unit_Price</t>
  </si>
  <si>
    <t>Rating</t>
  </si>
  <si>
    <t>Delivery_Days</t>
  </si>
  <si>
    <t>Channel</t>
  </si>
  <si>
    <t>ORD-00001</t>
  </si>
  <si>
    <t>CUST-6878</t>
  </si>
  <si>
    <t>Other</t>
  </si>
  <si>
    <t>North</t>
  </si>
  <si>
    <t>Smartphone</t>
  </si>
  <si>
    <t>Electronics</t>
  </si>
  <si>
    <t>Paid Search</t>
  </si>
  <si>
    <t>ORD-00002</t>
  </si>
  <si>
    <t>CUST-7303</t>
  </si>
  <si>
    <t>Female</t>
  </si>
  <si>
    <t>East</t>
  </si>
  <si>
    <t>Headphones</t>
  </si>
  <si>
    <t>Accessories</t>
  </si>
  <si>
    <t>ORD-00003</t>
  </si>
  <si>
    <t>CUST-1851</t>
  </si>
  <si>
    <t>West</t>
  </si>
  <si>
    <t>Social</t>
  </si>
  <si>
    <t>ORD-00004</t>
  </si>
  <si>
    <t>CUST-2687</t>
  </si>
  <si>
    <t>South</t>
  </si>
  <si>
    <t>Monitor</t>
  </si>
  <si>
    <t>Direct</t>
  </si>
  <si>
    <t>ORD-00005</t>
  </si>
  <si>
    <t>CUST-7833</t>
  </si>
  <si>
    <t>ORD-00006</t>
  </si>
  <si>
    <t>CUST-3427</t>
  </si>
  <si>
    <t>ORD-00007</t>
  </si>
  <si>
    <t>CUST-5000</t>
  </si>
  <si>
    <t>ORD-00008</t>
  </si>
  <si>
    <t>CUST-6052</t>
  </si>
  <si>
    <t>ORD-00009</t>
  </si>
  <si>
    <t>CUST-3738</t>
  </si>
  <si>
    <t>Tablet</t>
  </si>
  <si>
    <t>ORD-00010</t>
  </si>
  <si>
    <t>CUST-6732</t>
  </si>
  <si>
    <t>ORD-00011</t>
  </si>
  <si>
    <t>CUST-6387</t>
  </si>
  <si>
    <t>Organic</t>
  </si>
  <si>
    <t>ORD-00012</t>
  </si>
  <si>
    <t>CUST-9002</t>
  </si>
  <si>
    <t>Male</t>
  </si>
  <si>
    <t>ORD-00013</t>
  </si>
  <si>
    <t>CUST-6536</t>
  </si>
  <si>
    <t>ORD-00014</t>
  </si>
  <si>
    <t>CUST-4913</t>
  </si>
  <si>
    <t>ORD-00015</t>
  </si>
  <si>
    <t>CUST-2066</t>
  </si>
  <si>
    <t>ORD-00016</t>
  </si>
  <si>
    <t>CUST-8723</t>
  </si>
  <si>
    <t>ORD-00017</t>
  </si>
  <si>
    <t>CUST-5380</t>
  </si>
  <si>
    <t>ORD-00018</t>
  </si>
  <si>
    <t>CUST-5107</t>
  </si>
  <si>
    <t>Laptop</t>
  </si>
  <si>
    <t>ORD-00019</t>
  </si>
  <si>
    <t>CUST-6726</t>
  </si>
  <si>
    <t>ORD-00020</t>
  </si>
  <si>
    <t>CUST-4373</t>
  </si>
  <si>
    <t>ORD-00021</t>
  </si>
  <si>
    <t>CUST-9945</t>
  </si>
  <si>
    <t>ORD-00022</t>
  </si>
  <si>
    <t>CUST-3082</t>
  </si>
  <si>
    <t>ORD-00023</t>
  </si>
  <si>
    <t>CUST-9967</t>
  </si>
  <si>
    <t>ORD-00024</t>
  </si>
  <si>
    <t>CUST-7748</t>
  </si>
  <si>
    <t>ORD-00025</t>
  </si>
  <si>
    <t>CUST-1417</t>
  </si>
  <si>
    <t>ORD-00026</t>
  </si>
  <si>
    <t>CUST-9306</t>
  </si>
  <si>
    <t>ORD-00027</t>
  </si>
  <si>
    <t>CUST-9808</t>
  </si>
  <si>
    <t>ORD-00028</t>
  </si>
  <si>
    <t>CUST-4974</t>
  </si>
  <si>
    <t>ORD-00029</t>
  </si>
  <si>
    <t>CUST-4267</t>
  </si>
  <si>
    <t>ORD-00030</t>
  </si>
  <si>
    <t>CUST-1825</t>
  </si>
  <si>
    <t>ORD-00031</t>
  </si>
  <si>
    <t>CUST-8668</t>
  </si>
  <si>
    <t>ORD-00032</t>
  </si>
  <si>
    <t>CUST-6745</t>
  </si>
  <si>
    <t>ORD-00033</t>
  </si>
  <si>
    <t>CUST-1412</t>
  </si>
  <si>
    <t>ORD-00034</t>
  </si>
  <si>
    <t>CUST-8543</t>
  </si>
  <si>
    <t>ORD-00035</t>
  </si>
  <si>
    <t>CUST-8587</t>
  </si>
  <si>
    <t>ORD-00036</t>
  </si>
  <si>
    <t>CUST-1728</t>
  </si>
  <si>
    <t>ORD-00037</t>
  </si>
  <si>
    <t>CUST-8164</t>
  </si>
  <si>
    <t>ORD-00038</t>
  </si>
  <si>
    <t>CUST-9867</t>
  </si>
  <si>
    <t>ORD-00039</t>
  </si>
  <si>
    <t>CUST-6988</t>
  </si>
  <si>
    <t>ORD-00040</t>
  </si>
  <si>
    <t>CUST-3504</t>
  </si>
  <si>
    <t>ORD-00041</t>
  </si>
  <si>
    <t>CUST-3967</t>
  </si>
  <si>
    <t>ORD-00042</t>
  </si>
  <si>
    <t>CUST-3786</t>
  </si>
  <si>
    <t>ORD-00043</t>
  </si>
  <si>
    <t>CUST-2122</t>
  </si>
  <si>
    <t>ORD-00044</t>
  </si>
  <si>
    <t>CUST-5079</t>
  </si>
  <si>
    <t>ORD-00045</t>
  </si>
  <si>
    <t>CUST-2571</t>
  </si>
  <si>
    <t>ORD-00046</t>
  </si>
  <si>
    <t>CUST-6073</t>
  </si>
  <si>
    <t>ORD-00047</t>
  </si>
  <si>
    <t>CUST-6104</t>
  </si>
  <si>
    <t>ORD-00048</t>
  </si>
  <si>
    <t>CUST-3143</t>
  </si>
  <si>
    <t>ORD-00049</t>
  </si>
  <si>
    <t>CUST-7806</t>
  </si>
  <si>
    <t>ORD-00050</t>
  </si>
  <si>
    <t>CUST-8357</t>
  </si>
  <si>
    <t>ORD-00051</t>
  </si>
  <si>
    <t>CUST-4440</t>
  </si>
  <si>
    <t>ORD-00052</t>
  </si>
  <si>
    <t>CUST-4766</t>
  </si>
  <si>
    <t>ORD-00053</t>
  </si>
  <si>
    <t>CUST-6644</t>
  </si>
  <si>
    <t>ORD-00054</t>
  </si>
  <si>
    <t>CUST-3914</t>
  </si>
  <si>
    <t>ORD-00055</t>
  </si>
  <si>
    <t>CUST-5968</t>
  </si>
  <si>
    <t>ORD-00056</t>
  </si>
  <si>
    <t>CUST-6917</t>
  </si>
  <si>
    <t>ORD-00057</t>
  </si>
  <si>
    <t>CUST-9787</t>
  </si>
  <si>
    <t>ORD-00058</t>
  </si>
  <si>
    <t>ORD-00059</t>
  </si>
  <si>
    <t>CUST-2365</t>
  </si>
  <si>
    <t>ORD-00060</t>
  </si>
  <si>
    <t>CUST-5492</t>
  </si>
  <si>
    <t>ORD-00061</t>
  </si>
  <si>
    <t>CUST-1698</t>
  </si>
  <si>
    <t>ORD-00062</t>
  </si>
  <si>
    <t>CUST-8186</t>
  </si>
  <si>
    <t>ORD-00063</t>
  </si>
  <si>
    <t>CUST-1395</t>
  </si>
  <si>
    <t>ORD-00064</t>
  </si>
  <si>
    <t>CUST-8400</t>
  </si>
  <si>
    <t>ORD-00065</t>
  </si>
  <si>
    <t>CUST-9082</t>
  </si>
  <si>
    <t>ORD-00066</t>
  </si>
  <si>
    <t>CUST-5171</t>
  </si>
  <si>
    <t>ORD-00067</t>
  </si>
  <si>
    <t>CUST-5360</t>
  </si>
  <si>
    <t>ORD-00068</t>
  </si>
  <si>
    <t>CUST-3502</t>
  </si>
  <si>
    <t>ORD-00069</t>
  </si>
  <si>
    <t>CUST-1717</t>
  </si>
  <si>
    <t>ORD-00070</t>
  </si>
  <si>
    <t>CUST-3782</t>
  </si>
  <si>
    <t>ORD-00071</t>
  </si>
  <si>
    <t>CUST-5946</t>
  </si>
  <si>
    <t>ORD-00072</t>
  </si>
  <si>
    <t>CUST-6486</t>
  </si>
  <si>
    <t>ORD-00073</t>
  </si>
  <si>
    <t>CUST-9335</t>
  </si>
  <si>
    <t>ORD-00074</t>
  </si>
  <si>
    <t>CUST-5980</t>
  </si>
  <si>
    <t>ORD-00075</t>
  </si>
  <si>
    <t>CUST-8266</t>
  </si>
  <si>
    <t>ORD-00076</t>
  </si>
  <si>
    <t>CUST-5491</t>
  </si>
  <si>
    <t>ORD-00077</t>
  </si>
  <si>
    <t>CUST-8192</t>
  </si>
  <si>
    <t>ORD-00078</t>
  </si>
  <si>
    <t>CUST-6588</t>
  </si>
  <si>
    <t>ORD-00079</t>
  </si>
  <si>
    <t>CUST-8651</t>
  </si>
  <si>
    <t>ORD-00080</t>
  </si>
  <si>
    <t>CUST-4636</t>
  </si>
  <si>
    <t>ORD-00081</t>
  </si>
  <si>
    <t>CUST-2167</t>
  </si>
  <si>
    <t>ORD-00082</t>
  </si>
  <si>
    <t>CUST-2062</t>
  </si>
  <si>
    <t>ORD-00083</t>
  </si>
  <si>
    <t>CUST-3156</t>
  </si>
  <si>
    <t>ORD-00084</t>
  </si>
  <si>
    <t>CUST-8860</t>
  </si>
  <si>
    <t>ORD-00085</t>
  </si>
  <si>
    <t>CUST-6161</t>
  </si>
  <si>
    <t>ORD-00086</t>
  </si>
  <si>
    <t>CUST-6305</t>
  </si>
  <si>
    <t>ORD-00087</t>
  </si>
  <si>
    <t>CUST-7541</t>
  </si>
  <si>
    <t>ORD-00088</t>
  </si>
  <si>
    <t>CUST-5729</t>
  </si>
  <si>
    <t>ORD-00089</t>
  </si>
  <si>
    <t>CUST-8330</t>
  </si>
  <si>
    <t>ORD-00090</t>
  </si>
  <si>
    <t>CUST-6334</t>
  </si>
  <si>
    <t>ORD-00091</t>
  </si>
  <si>
    <t>CUST-9924</t>
  </si>
  <si>
    <t>ORD-00092</t>
  </si>
  <si>
    <t>CUST-5330</t>
  </si>
  <si>
    <t>ORD-00093</t>
  </si>
  <si>
    <t>CUST-9010</t>
  </si>
  <si>
    <t>ORD-00094</t>
  </si>
  <si>
    <t>CUST-7801</t>
  </si>
  <si>
    <t>ORD-00095</t>
  </si>
  <si>
    <t>CUST-5846</t>
  </si>
  <si>
    <t>ORD-00096</t>
  </si>
  <si>
    <t>CUST-7731</t>
  </si>
  <si>
    <t>ORD-00097</t>
  </si>
  <si>
    <t>CUST-8241</t>
  </si>
  <si>
    <t>ORD-00098</t>
  </si>
  <si>
    <t>CUST-1953</t>
  </si>
  <si>
    <t>ORD-00099</t>
  </si>
  <si>
    <t>CUST-3539</t>
  </si>
  <si>
    <t>ORD-00100</t>
  </si>
  <si>
    <t>CUST-8056</t>
  </si>
  <si>
    <t>ORD-00101</t>
  </si>
  <si>
    <t>CUST-2542</t>
  </si>
  <si>
    <t>ORD-00102</t>
  </si>
  <si>
    <t>CUST-6293</t>
  </si>
  <si>
    <t>ORD-00103</t>
  </si>
  <si>
    <t>CUST-2191</t>
  </si>
  <si>
    <t>ORD-00104</t>
  </si>
  <si>
    <t>CUST-7313</t>
  </si>
  <si>
    <t>ORD-00105</t>
  </si>
  <si>
    <t>CUST-7938</t>
  </si>
  <si>
    <t>ORD-00106</t>
  </si>
  <si>
    <t>CUST-3681</t>
  </si>
  <si>
    <t>ORD-00107</t>
  </si>
  <si>
    <t>CUST-2540</t>
  </si>
  <si>
    <t>ORD-00108</t>
  </si>
  <si>
    <t>CUST-7172</t>
  </si>
  <si>
    <t>ORD-00109</t>
  </si>
  <si>
    <t>CUST-6541</t>
  </si>
  <si>
    <t>ORD-00110</t>
  </si>
  <si>
    <t>ORD-00111</t>
  </si>
  <si>
    <t>CUST-9691</t>
  </si>
  <si>
    <t>ORD-00112</t>
  </si>
  <si>
    <t>CUST-9702</t>
  </si>
  <si>
    <t>ORD-00113</t>
  </si>
  <si>
    <t>CUST-8494</t>
  </si>
  <si>
    <t>ORD-00114</t>
  </si>
  <si>
    <t>CUST-5312</t>
  </si>
  <si>
    <t>ORD-00115</t>
  </si>
  <si>
    <t>CUST-2324</t>
  </si>
  <si>
    <t>ORD-00116</t>
  </si>
  <si>
    <t>CUST-4141</t>
  </si>
  <si>
    <t>ORD-00117</t>
  </si>
  <si>
    <t>CUST-8419</t>
  </si>
  <si>
    <t>ORD-00118</t>
  </si>
  <si>
    <t>CUST-4486</t>
  </si>
  <si>
    <t>ORD-00119</t>
  </si>
  <si>
    <t>CUST-2810</t>
  </si>
  <si>
    <t>ORD-00120</t>
  </si>
  <si>
    <t>CUST-7588</t>
  </si>
  <si>
    <t>ORD-00121</t>
  </si>
  <si>
    <t>CUST-3923</t>
  </si>
  <si>
    <t>ORD-00122</t>
  </si>
  <si>
    <t>CUST-6301</t>
  </si>
  <si>
    <t>ORD-00123</t>
  </si>
  <si>
    <t>CUST-5186</t>
  </si>
  <si>
    <t>ORD-00124</t>
  </si>
  <si>
    <t>CUST-9905</t>
  </si>
  <si>
    <t>ORD-00125</t>
  </si>
  <si>
    <t>CUST-6977</t>
  </si>
  <si>
    <t>ORD-00126</t>
  </si>
  <si>
    <t>CUST-5268</t>
  </si>
  <si>
    <t>ORD-00127</t>
  </si>
  <si>
    <t>CUST-5748</t>
  </si>
  <si>
    <t>ORD-00128</t>
  </si>
  <si>
    <t>CUST-5849</t>
  </si>
  <si>
    <t>ORD-00129</t>
  </si>
  <si>
    <t>CUST-4709</t>
  </si>
  <si>
    <t>ORD-00130</t>
  </si>
  <si>
    <t>CUST-7619</t>
  </si>
  <si>
    <t>ORD-00131</t>
  </si>
  <si>
    <t>CUST-9647</t>
  </si>
  <si>
    <t>ORD-00132</t>
  </si>
  <si>
    <t>CUST-4072</t>
  </si>
  <si>
    <t>ORD-00133</t>
  </si>
  <si>
    <t>CUST-7530</t>
  </si>
  <si>
    <t>ORD-00134</t>
  </si>
  <si>
    <t>CUST-1504</t>
  </si>
  <si>
    <t>ORD-00135</t>
  </si>
  <si>
    <t>CUST-2214</t>
  </si>
  <si>
    <t>ORD-00136</t>
  </si>
  <si>
    <t>CUST-2531</t>
  </si>
  <si>
    <t>ORD-00137</t>
  </si>
  <si>
    <t>CUST-8576</t>
  </si>
  <si>
    <t>ORD-00138</t>
  </si>
  <si>
    <t>CUST-1823</t>
  </si>
  <si>
    <t>ORD-00139</t>
  </si>
  <si>
    <t>CUST-1928</t>
  </si>
  <si>
    <t>ORD-00140</t>
  </si>
  <si>
    <t>CUST-6029</t>
  </si>
  <si>
    <t>ORD-00141</t>
  </si>
  <si>
    <t>CUST-1133</t>
  </si>
  <si>
    <t>ORD-00142</t>
  </si>
  <si>
    <t>CUST-3105</t>
  </si>
  <si>
    <t>ORD-00143</t>
  </si>
  <si>
    <t>CUST-4627</t>
  </si>
  <si>
    <t>ORD-00144</t>
  </si>
  <si>
    <t>CUST-7316</t>
  </si>
  <si>
    <t>ORD-00145</t>
  </si>
  <si>
    <t>CUST-2852</t>
  </si>
  <si>
    <t>ORD-00146</t>
  </si>
  <si>
    <t>CUST-5910</t>
  </si>
  <si>
    <t>ORD-00147</t>
  </si>
  <si>
    <t>CUST-5175</t>
  </si>
  <si>
    <t>ORD-00148</t>
  </si>
  <si>
    <t>CUST-6348</t>
  </si>
  <si>
    <t>ORD-00149</t>
  </si>
  <si>
    <t>CUST-7190</t>
  </si>
  <si>
    <t>ORD-00150</t>
  </si>
  <si>
    <t>CUST-2256</t>
  </si>
  <si>
    <t>ORD-00151</t>
  </si>
  <si>
    <t>CUST-4376</t>
  </si>
  <si>
    <t>ORD-00152</t>
  </si>
  <si>
    <t>CUST-6645</t>
  </si>
  <si>
    <t>ORD-00153</t>
  </si>
  <si>
    <t>ORD-00154</t>
  </si>
  <si>
    <t>CUST-4584</t>
  </si>
  <si>
    <t>ORD-00155</t>
  </si>
  <si>
    <t>CUST-9053</t>
  </si>
  <si>
    <t>ORD-00156</t>
  </si>
  <si>
    <t>CUST-4330</t>
  </si>
  <si>
    <t>ORD-00157</t>
  </si>
  <si>
    <t>CUST-3703</t>
  </si>
  <si>
    <t>ORD-00158</t>
  </si>
  <si>
    <t>CUST-9662</t>
  </si>
  <si>
    <t>ORD-00159</t>
  </si>
  <si>
    <t>CUST-9120</t>
  </si>
  <si>
    <t>ORD-00160</t>
  </si>
  <si>
    <t>CUST-8114</t>
  </si>
  <si>
    <t>ORD-00161</t>
  </si>
  <si>
    <t>CUST-2353</t>
  </si>
  <si>
    <t>ORD-00162</t>
  </si>
  <si>
    <t>CUST-6063</t>
  </si>
  <si>
    <t>ORD-00163</t>
  </si>
  <si>
    <t>CUST-9549</t>
  </si>
  <si>
    <t>ORD-00164</t>
  </si>
  <si>
    <t>CUST-8575</t>
  </si>
  <si>
    <t>ORD-00165</t>
  </si>
  <si>
    <t>CUST-1667</t>
  </si>
  <si>
    <t>ORD-00166</t>
  </si>
  <si>
    <t>CUST-5468</t>
  </si>
  <si>
    <t>ORD-00167</t>
  </si>
  <si>
    <t>CUST-7819</t>
  </si>
  <si>
    <t>ORD-00168</t>
  </si>
  <si>
    <t>CUST-4719</t>
  </si>
  <si>
    <t>ORD-00169</t>
  </si>
  <si>
    <t>CUST-3745</t>
  </si>
  <si>
    <t>ORD-00170</t>
  </si>
  <si>
    <t>CUST-8483</t>
  </si>
  <si>
    <t>ORD-00171</t>
  </si>
  <si>
    <t>CUST-1539</t>
  </si>
  <si>
    <t>ORD-00172</t>
  </si>
  <si>
    <t>CUST-5964</t>
  </si>
  <si>
    <t>ORD-00173</t>
  </si>
  <si>
    <t>CUST-5835</t>
  </si>
  <si>
    <t>ORD-00174</t>
  </si>
  <si>
    <t>CUST-4775</t>
  </si>
  <si>
    <t>ORD-00175</t>
  </si>
  <si>
    <t>CUST-7042</t>
  </si>
  <si>
    <t>ORD-00176</t>
  </si>
  <si>
    <t>CUST-8102</t>
  </si>
  <si>
    <t>ORD-00177</t>
  </si>
  <si>
    <t>CUST-8312</t>
  </si>
  <si>
    <t>ORD-00178</t>
  </si>
  <si>
    <t>CUST-6320</t>
  </si>
  <si>
    <t>ORD-00179</t>
  </si>
  <si>
    <t>CUST-7132</t>
  </si>
  <si>
    <t>ORD-00180</t>
  </si>
  <si>
    <t>CUST-8891</t>
  </si>
  <si>
    <t>ORD-00181</t>
  </si>
  <si>
    <t>CUST-3779</t>
  </si>
  <si>
    <t>ORD-00182</t>
  </si>
  <si>
    <t>CUST-1924</t>
  </si>
  <si>
    <t>ORD-00183</t>
  </si>
  <si>
    <t>CUST-2581</t>
  </si>
  <si>
    <t>ORD-00184</t>
  </si>
  <si>
    <t>CUST-8714</t>
  </si>
  <si>
    <t>ORD-00185</t>
  </si>
  <si>
    <t>CUST-4324</t>
  </si>
  <si>
    <t>ORD-00186</t>
  </si>
  <si>
    <t>CUST-6713</t>
  </si>
  <si>
    <t>ORD-00187</t>
  </si>
  <si>
    <t>CUST-8026</t>
  </si>
  <si>
    <t>ORD-00188</t>
  </si>
  <si>
    <t>CUST-1255</t>
  </si>
  <si>
    <t>ORD-00189</t>
  </si>
  <si>
    <t>CUST-5804</t>
  </si>
  <si>
    <t>ORD-00190</t>
  </si>
  <si>
    <t>CUST-2838</t>
  </si>
  <si>
    <t>ORD-00191</t>
  </si>
  <si>
    <t>CUST-1009</t>
  </si>
  <si>
    <t>ORD-00192</t>
  </si>
  <si>
    <t>CUST-3871</t>
  </si>
  <si>
    <t>ORD-00193</t>
  </si>
  <si>
    <t>CUST-9989</t>
  </si>
  <si>
    <t>ORD-00194</t>
  </si>
  <si>
    <t>CUST-8409</t>
  </si>
  <si>
    <t>ORD-00195</t>
  </si>
  <si>
    <t>CUST-8418</t>
  </si>
  <si>
    <t>ORD-00196</t>
  </si>
  <si>
    <t>CUST-6124</t>
  </si>
  <si>
    <t>ORD-00197</t>
  </si>
  <si>
    <t>CUST-2015</t>
  </si>
  <si>
    <t>ORD-00198</t>
  </si>
  <si>
    <t>CUST-3193</t>
  </si>
  <si>
    <t>ORD-00199</t>
  </si>
  <si>
    <t>CUST-9415</t>
  </si>
  <si>
    <t>ORD-00200</t>
  </si>
  <si>
    <t>CUST-8449</t>
  </si>
  <si>
    <t>ORD-00201</t>
  </si>
  <si>
    <t>CUST-5158</t>
  </si>
  <si>
    <t>ORD-00202</t>
  </si>
  <si>
    <t>CUST-4925</t>
  </si>
  <si>
    <t>ORD-00203</t>
  </si>
  <si>
    <t>CUST-7970</t>
  </si>
  <si>
    <t>ORD-00204</t>
  </si>
  <si>
    <t>ORD-00205</t>
  </si>
  <si>
    <t>CUST-5784</t>
  </si>
  <si>
    <t>ORD-00206</t>
  </si>
  <si>
    <t>ORD-00207</t>
  </si>
  <si>
    <t>CUST-2633</t>
  </si>
  <si>
    <t>ORD-00208</t>
  </si>
  <si>
    <t>ORD-00209</t>
  </si>
  <si>
    <t>ORD-00210</t>
  </si>
  <si>
    <t>CUST-1384</t>
  </si>
  <si>
    <t>ORD-00211</t>
  </si>
  <si>
    <t>CUST-1404</t>
  </si>
  <si>
    <t>ORD-00212</t>
  </si>
  <si>
    <t>CUST-9175</t>
  </si>
  <si>
    <t>ORD-00213</t>
  </si>
  <si>
    <t>CUST-3000</t>
  </si>
  <si>
    <t>ORD-00214</t>
  </si>
  <si>
    <t>CUST-6989</t>
  </si>
  <si>
    <t>ORD-00215</t>
  </si>
  <si>
    <t>CUST-2460</t>
  </si>
  <si>
    <t>ORD-00216</t>
  </si>
  <si>
    <t>CUST-8190</t>
  </si>
  <si>
    <t>ORD-00217</t>
  </si>
  <si>
    <t>CUST-8140</t>
  </si>
  <si>
    <t>ORD-00218</t>
  </si>
  <si>
    <t>ORD-00219</t>
  </si>
  <si>
    <t>CUST-5809</t>
  </si>
  <si>
    <t>ORD-00220</t>
  </si>
  <si>
    <t>CUST-5178</t>
  </si>
  <si>
    <t>ORD-00221</t>
  </si>
  <si>
    <t>CUST-8245</t>
  </si>
  <si>
    <t>ORD-00222</t>
  </si>
  <si>
    <t>CUST-7600</t>
  </si>
  <si>
    <t>ORD-00223</t>
  </si>
  <si>
    <t>CUST-6997</t>
  </si>
  <si>
    <t>ORD-00224</t>
  </si>
  <si>
    <t>CUST-3048</t>
  </si>
  <si>
    <t>ORD-00225</t>
  </si>
  <si>
    <t>CUST-5780</t>
  </si>
  <si>
    <t>ORD-00226</t>
  </si>
  <si>
    <t>CUST-1716</t>
  </si>
  <si>
    <t>ORD-00227</t>
  </si>
  <si>
    <t>CUST-8939</t>
  </si>
  <si>
    <t>ORD-00228</t>
  </si>
  <si>
    <t>CUST-6565</t>
  </si>
  <si>
    <t>ORD-00229</t>
  </si>
  <si>
    <t>CUST-5544</t>
  </si>
  <si>
    <t>ORD-00230</t>
  </si>
  <si>
    <t>CUST-5976</t>
  </si>
  <si>
    <t>ORD-00231</t>
  </si>
  <si>
    <t>CUST-4419</t>
  </si>
  <si>
    <t>ORD-00232</t>
  </si>
  <si>
    <t>CUST-8239</t>
  </si>
  <si>
    <t>ORD-00233</t>
  </si>
  <si>
    <t>CUST-1249</t>
  </si>
  <si>
    <t>ORD-00234</t>
  </si>
  <si>
    <t>CUST-9865</t>
  </si>
  <si>
    <t>ORD-00235</t>
  </si>
  <si>
    <t>CUST-1770</t>
  </si>
  <si>
    <t>ORD-00236</t>
  </si>
  <si>
    <t>CUST-5363</t>
  </si>
  <si>
    <t>ORD-00237</t>
  </si>
  <si>
    <t>CUST-2077</t>
  </si>
  <si>
    <t>ORD-00238</t>
  </si>
  <si>
    <t>CUST-9427</t>
  </si>
  <si>
    <t>ORD-00239</t>
  </si>
  <si>
    <t>CUST-9580</t>
  </si>
  <si>
    <t>ORD-00240</t>
  </si>
  <si>
    <t>CUST-8901</t>
  </si>
  <si>
    <t>ORD-00241</t>
  </si>
  <si>
    <t>CUST-5858</t>
  </si>
  <si>
    <t>ORD-00242</t>
  </si>
  <si>
    <t>CUST-7544</t>
  </si>
  <si>
    <t>ORD-00243</t>
  </si>
  <si>
    <t>CUST-5719</t>
  </si>
  <si>
    <t>ORD-00244</t>
  </si>
  <si>
    <t>CUST-3814</t>
  </si>
  <si>
    <t>ORD-00245</t>
  </si>
  <si>
    <t>CUST-4374</t>
  </si>
  <si>
    <t>ORD-00246</t>
  </si>
  <si>
    <t>CUST-2252</t>
  </si>
  <si>
    <t>ORD-00247</t>
  </si>
  <si>
    <t>CUST-7996</t>
  </si>
  <si>
    <t>ORD-00248</t>
  </si>
  <si>
    <t>CUST-5673</t>
  </si>
  <si>
    <t>ORD-00249</t>
  </si>
  <si>
    <t>CUST-5530</t>
  </si>
  <si>
    <t>ORD-00250</t>
  </si>
  <si>
    <t>CUST-7881</t>
  </si>
  <si>
    <t>ORD-00251</t>
  </si>
  <si>
    <t>CUST-7949</t>
  </si>
  <si>
    <t>ORD-00252</t>
  </si>
  <si>
    <t>CUST-7241</t>
  </si>
  <si>
    <t>ORD-00253</t>
  </si>
  <si>
    <t>CUST-9017</t>
  </si>
  <si>
    <t>ORD-00254</t>
  </si>
  <si>
    <t>CUST-7941</t>
  </si>
  <si>
    <t>ORD-00255</t>
  </si>
  <si>
    <t>CUST-8002</t>
  </si>
  <si>
    <t>ORD-00256</t>
  </si>
  <si>
    <t>CUST-2331</t>
  </si>
  <si>
    <t>ORD-00257</t>
  </si>
  <si>
    <t>CUST-5261</t>
  </si>
  <si>
    <t>ORD-00258</t>
  </si>
  <si>
    <t>CUST-8648</t>
  </si>
  <si>
    <t>ORD-00259</t>
  </si>
  <si>
    <t>CUST-6115</t>
  </si>
  <si>
    <t>ORD-00260</t>
  </si>
  <si>
    <t>CUST-5637</t>
  </si>
  <si>
    <t>ORD-00261</t>
  </si>
  <si>
    <t>CUST-5854</t>
  </si>
  <si>
    <t>ORD-00262</t>
  </si>
  <si>
    <t>CUST-4177</t>
  </si>
  <si>
    <t>ORD-00263</t>
  </si>
  <si>
    <t>CUST-8730</t>
  </si>
  <si>
    <t>ORD-00264</t>
  </si>
  <si>
    <t>CUST-3180</t>
  </si>
  <si>
    <t>ORD-00265</t>
  </si>
  <si>
    <t>CUST-5892</t>
  </si>
  <si>
    <t>ORD-00266</t>
  </si>
  <si>
    <t>CUST-8043</t>
  </si>
  <si>
    <t>ORD-00267</t>
  </si>
  <si>
    <t>CUST-1137</t>
  </si>
  <si>
    <t>ORD-00268</t>
  </si>
  <si>
    <t>CUST-7327</t>
  </si>
  <si>
    <t>ORD-00269</t>
  </si>
  <si>
    <t>CUST-4472</t>
  </si>
  <si>
    <t>ORD-00270</t>
  </si>
  <si>
    <t>CUST-6449</t>
  </si>
  <si>
    <t>ORD-00271</t>
  </si>
  <si>
    <t>CUST-3832</t>
  </si>
  <si>
    <t>ORD-00272</t>
  </si>
  <si>
    <t>CUST-4579</t>
  </si>
  <si>
    <t>ORD-00273</t>
  </si>
  <si>
    <t>CUST-6971</t>
  </si>
  <si>
    <t>ORD-00274</t>
  </si>
  <si>
    <t>CUST-5164</t>
  </si>
  <si>
    <t>ORD-00275</t>
  </si>
  <si>
    <t>CUST-8941</t>
  </si>
  <si>
    <t>ORD-00276</t>
  </si>
  <si>
    <t>CUST-6569</t>
  </si>
  <si>
    <t>ORD-00277</t>
  </si>
  <si>
    <t>CUST-5300</t>
  </si>
  <si>
    <t>ORD-00278</t>
  </si>
  <si>
    <t>CUST-7269</t>
  </si>
  <si>
    <t>ORD-00279</t>
  </si>
  <si>
    <t>CUST-4818</t>
  </si>
  <si>
    <t>ORD-00280</t>
  </si>
  <si>
    <t>CUST-2906</t>
  </si>
  <si>
    <t>ORD-00281</t>
  </si>
  <si>
    <t>CUST-7254</t>
  </si>
  <si>
    <t>ORD-00282</t>
  </si>
  <si>
    <t>CUST-1760</t>
  </si>
  <si>
    <t>ORD-00283</t>
  </si>
  <si>
    <t>CUST-8830</t>
  </si>
  <si>
    <t>ORD-00284</t>
  </si>
  <si>
    <t>CUST-8350</t>
  </si>
  <si>
    <t>ORD-00285</t>
  </si>
  <si>
    <t>CUST-7238</t>
  </si>
  <si>
    <t>ORD-00286</t>
  </si>
  <si>
    <t>CUST-7090</t>
  </si>
  <si>
    <t>ORD-00287</t>
  </si>
  <si>
    <t>CUST-7031</t>
  </si>
  <si>
    <t>ORD-00288</t>
  </si>
  <si>
    <t>CUST-8687</t>
  </si>
  <si>
    <t>ORD-00289</t>
  </si>
  <si>
    <t>CUST-9472</t>
  </si>
  <si>
    <t>ORD-00290</t>
  </si>
  <si>
    <t>CUST-2887</t>
  </si>
  <si>
    <t>ORD-00291</t>
  </si>
  <si>
    <t>CUST-4266</t>
  </si>
  <si>
    <t>ORD-00292</t>
  </si>
  <si>
    <t>CUST-1666</t>
  </si>
  <si>
    <t>ORD-00293</t>
  </si>
  <si>
    <t>CUST-5188</t>
  </si>
  <si>
    <t>ORD-00294</t>
  </si>
  <si>
    <t>CUST-1671</t>
  </si>
  <si>
    <t>ORD-00295</t>
  </si>
  <si>
    <t>CUST-7777</t>
  </si>
  <si>
    <t>ORD-00296</t>
  </si>
  <si>
    <t>CUST-8570</t>
  </si>
  <si>
    <t>ORD-00297</t>
  </si>
  <si>
    <t>CUST-8956</t>
  </si>
  <si>
    <t>ORD-00298</t>
  </si>
  <si>
    <t>ORD-00299</t>
  </si>
  <si>
    <t>CUST-6585</t>
  </si>
  <si>
    <t>ORD-00300</t>
  </si>
  <si>
    <t>CUST-5777</t>
  </si>
  <si>
    <t>ORD-00301</t>
  </si>
  <si>
    <t>CUST-4900</t>
  </si>
  <si>
    <t>ORD-00302</t>
  </si>
  <si>
    <t>CUST-7677</t>
  </si>
  <si>
    <t>ORD-00303</t>
  </si>
  <si>
    <t>CUST-7981</t>
  </si>
  <si>
    <t>ORD-00304</t>
  </si>
  <si>
    <t>CUST-7376</t>
  </si>
  <si>
    <t>ORD-00305</t>
  </si>
  <si>
    <t>CUST-1523</t>
  </si>
  <si>
    <t>ORD-00306</t>
  </si>
  <si>
    <t>CUST-3393</t>
  </si>
  <si>
    <t>ORD-00307</t>
  </si>
  <si>
    <t>CUST-3593</t>
  </si>
  <si>
    <t>ORD-00308</t>
  </si>
  <si>
    <t>CUST-8240</t>
  </si>
  <si>
    <t>ORD-00309</t>
  </si>
  <si>
    <t>CUST-7937</t>
  </si>
  <si>
    <t>ORD-00310</t>
  </si>
  <si>
    <t>ORD-00311</t>
  </si>
  <si>
    <t>CUST-6240</t>
  </si>
  <si>
    <t>ORD-00312</t>
  </si>
  <si>
    <t>CUST-7493</t>
  </si>
  <si>
    <t>ORD-00313</t>
  </si>
  <si>
    <t>CUST-3878</t>
  </si>
  <si>
    <t>ORD-00314</t>
  </si>
  <si>
    <t>CUST-5143</t>
  </si>
  <si>
    <t>ORD-00315</t>
  </si>
  <si>
    <t>CUST-4644</t>
  </si>
  <si>
    <t>ORD-00316</t>
  </si>
  <si>
    <t>CUST-5432</t>
  </si>
  <si>
    <t>ORD-00317</t>
  </si>
  <si>
    <t>CUST-2276</t>
  </si>
  <si>
    <t>ORD-00318</t>
  </si>
  <si>
    <t>CUST-6811</t>
  </si>
  <si>
    <t>ORD-00319</t>
  </si>
  <si>
    <t>CUST-1302</t>
  </si>
  <si>
    <t>ORD-00320</t>
  </si>
  <si>
    <t>CUST-1638</t>
  </si>
  <si>
    <t>ORD-00321</t>
  </si>
  <si>
    <t>CUST-1055</t>
  </si>
  <si>
    <t>ORD-00322</t>
  </si>
  <si>
    <t>CUST-9717</t>
  </si>
  <si>
    <t>ORD-00323</t>
  </si>
  <si>
    <t>CUST-9150</t>
  </si>
  <si>
    <t>ORD-00324</t>
  </si>
  <si>
    <t>CUST-3125</t>
  </si>
  <si>
    <t>ORD-00325</t>
  </si>
  <si>
    <t>CUST-1364</t>
  </si>
  <si>
    <t>ORD-00326</t>
  </si>
  <si>
    <t>CUST-7809</t>
  </si>
  <si>
    <t>ORD-00327</t>
  </si>
  <si>
    <t>CUST-5621</t>
  </si>
  <si>
    <t>ORD-00328</t>
  </si>
  <si>
    <t>CUST-6126</t>
  </si>
  <si>
    <t>ORD-00329</t>
  </si>
  <si>
    <t>CUST-6122</t>
  </si>
  <si>
    <t>ORD-00330</t>
  </si>
  <si>
    <t>CUST-2646</t>
  </si>
  <si>
    <t>ORD-00331</t>
  </si>
  <si>
    <t>CUST-1918</t>
  </si>
  <si>
    <t>ORD-00332</t>
  </si>
  <si>
    <t>CUST-3797</t>
  </si>
  <si>
    <t>ORD-00333</t>
  </si>
  <si>
    <t>CUST-7506</t>
  </si>
  <si>
    <t>ORD-00334</t>
  </si>
  <si>
    <t>CUST-6870</t>
  </si>
  <si>
    <t>ORD-00335</t>
  </si>
  <si>
    <t>ORD-00336</t>
  </si>
  <si>
    <t>CUST-9172</t>
  </si>
  <si>
    <t>ORD-00337</t>
  </si>
  <si>
    <t>CUST-4345</t>
  </si>
  <si>
    <t>ORD-00338</t>
  </si>
  <si>
    <t>CUST-8673</t>
  </si>
  <si>
    <t>ORD-00339</t>
  </si>
  <si>
    <t>ORD-00340</t>
  </si>
  <si>
    <t>CUST-7882</t>
  </si>
  <si>
    <t>ORD-00341</t>
  </si>
  <si>
    <t>ORD-00342</t>
  </si>
  <si>
    <t>CUST-4086</t>
  </si>
  <si>
    <t>ORD-00343</t>
  </si>
  <si>
    <t>CUST-9152</t>
  </si>
  <si>
    <t>ORD-00344</t>
  </si>
  <si>
    <t>CUST-6750</t>
  </si>
  <si>
    <t>ORD-00345</t>
  </si>
  <si>
    <t>ORD-00346</t>
  </si>
  <si>
    <t>ORD-00347</t>
  </si>
  <si>
    <t>CUST-2976</t>
  </si>
  <si>
    <t>ORD-00348</t>
  </si>
  <si>
    <t>CUST-2296</t>
  </si>
  <si>
    <t>ORD-00349</t>
  </si>
  <si>
    <t>CUST-7229</t>
  </si>
  <si>
    <t>ORD-00350</t>
  </si>
  <si>
    <t>CUST-8641</t>
  </si>
  <si>
    <t>ORD-00351</t>
  </si>
  <si>
    <t>CUST-1125</t>
  </si>
  <si>
    <t>ORD-00352</t>
  </si>
  <si>
    <t>CUST-5632</t>
  </si>
  <si>
    <t>ORD-00353</t>
  </si>
  <si>
    <t>CUST-7288</t>
  </si>
  <si>
    <t>ORD-00354</t>
  </si>
  <si>
    <t>CUST-4596</t>
  </si>
  <si>
    <t>ORD-00355</t>
  </si>
  <si>
    <t>CUST-7168</t>
  </si>
  <si>
    <t>ORD-00356</t>
  </si>
  <si>
    <t>CUST-8561</t>
  </si>
  <si>
    <t>ORD-00357</t>
  </si>
  <si>
    <t>CUST-9258</t>
  </si>
  <si>
    <t>ORD-00358</t>
  </si>
  <si>
    <t>CUST-1232</t>
  </si>
  <si>
    <t>ORD-00359</t>
  </si>
  <si>
    <t>CUST-7371</t>
  </si>
  <si>
    <t>ORD-00360</t>
  </si>
  <si>
    <t>CUST-5206</t>
  </si>
  <si>
    <t>ORD-00361</t>
  </si>
  <si>
    <t>CUST-8943</t>
  </si>
  <si>
    <t>ORD-00362</t>
  </si>
  <si>
    <t>CUST-7891</t>
  </si>
  <si>
    <t>ORD-00363</t>
  </si>
  <si>
    <t>CUST-7738</t>
  </si>
  <si>
    <t>ORD-00364</t>
  </si>
  <si>
    <t>CUST-3472</t>
  </si>
  <si>
    <t>ORD-00365</t>
  </si>
  <si>
    <t>CUST-3739</t>
  </si>
  <si>
    <t>ORD-00366</t>
  </si>
  <si>
    <t>CUST-6401</t>
  </si>
  <si>
    <t>ORD-00367</t>
  </si>
  <si>
    <t>CUST-2761</t>
  </si>
  <si>
    <t>ORD-00368</t>
  </si>
  <si>
    <t>CUST-1876</t>
  </si>
  <si>
    <t>ORD-00369</t>
  </si>
  <si>
    <t>CUST-4812</t>
  </si>
  <si>
    <t>ORD-00370</t>
  </si>
  <si>
    <t>ORD-00371</t>
  </si>
  <si>
    <t>CUST-2733</t>
  </si>
  <si>
    <t>ORD-00372</t>
  </si>
  <si>
    <t>CUST-2605</t>
  </si>
  <si>
    <t>ORD-00373</t>
  </si>
  <si>
    <t>CUST-6622</t>
  </si>
  <si>
    <t>ORD-00374</t>
  </si>
  <si>
    <t>CUST-7767</t>
  </si>
  <si>
    <t>ORD-00375</t>
  </si>
  <si>
    <t>CUST-7986</t>
  </si>
  <si>
    <t>ORD-00376</t>
  </si>
  <si>
    <t>CUST-4517</t>
  </si>
  <si>
    <t>ORD-00377</t>
  </si>
  <si>
    <t>CUST-4735</t>
  </si>
  <si>
    <t>ORD-00378</t>
  </si>
  <si>
    <t>CUST-9434</t>
  </si>
  <si>
    <t>ORD-00379</t>
  </si>
  <si>
    <t>CUST-3590</t>
  </si>
  <si>
    <t>ORD-00380</t>
  </si>
  <si>
    <t>CUST-2063</t>
  </si>
  <si>
    <t>ORD-00381</t>
  </si>
  <si>
    <t>CUST-5324</t>
  </si>
  <si>
    <t>ORD-00382</t>
  </si>
  <si>
    <t>CUST-6342</t>
  </si>
  <si>
    <t>ORD-00383</t>
  </si>
  <si>
    <t>CUST-1005</t>
  </si>
  <si>
    <t>ORD-00384</t>
  </si>
  <si>
    <t>CUST-8489</t>
  </si>
  <si>
    <t>ORD-00385</t>
  </si>
  <si>
    <t>CUST-9659</t>
  </si>
  <si>
    <t>ORD-00386</t>
  </si>
  <si>
    <t>CUST-9195</t>
  </si>
  <si>
    <t>ORD-00387</t>
  </si>
  <si>
    <t>CUST-6966</t>
  </si>
  <si>
    <t>ORD-00388</t>
  </si>
  <si>
    <t>CUST-9837</t>
  </si>
  <si>
    <t>ORD-00389</t>
  </si>
  <si>
    <t>CUST-1117</t>
  </si>
  <si>
    <t>ORD-00390</t>
  </si>
  <si>
    <t>CUST-3551</t>
  </si>
  <si>
    <t>ORD-00391</t>
  </si>
  <si>
    <t>CUST-6560</t>
  </si>
  <si>
    <t>ORD-00392</t>
  </si>
  <si>
    <t>CUST-5289</t>
  </si>
  <si>
    <t>ORD-00393</t>
  </si>
  <si>
    <t>CUST-1846</t>
  </si>
  <si>
    <t>ORD-00394</t>
  </si>
  <si>
    <t>ORD-00395</t>
  </si>
  <si>
    <t>CUST-7469</t>
  </si>
  <si>
    <t>ORD-00396</t>
  </si>
  <si>
    <t>CUST-9915</t>
  </si>
  <si>
    <t>ORD-00397</t>
  </si>
  <si>
    <t>CUST-1224</t>
  </si>
  <si>
    <t>ORD-00398</t>
  </si>
  <si>
    <t>CUST-5208</t>
  </si>
  <si>
    <t>ORD-00399</t>
  </si>
  <si>
    <t>CUST-7283</t>
  </si>
  <si>
    <t>ORD-00400</t>
  </si>
  <si>
    <t>ORD-00401</t>
  </si>
  <si>
    <t>CUST-7233</t>
  </si>
  <si>
    <t>ORD-00402</t>
  </si>
  <si>
    <t>CUST-2828</t>
  </si>
  <si>
    <t>ORD-00403</t>
  </si>
  <si>
    <t>CUST-2917</t>
  </si>
  <si>
    <t>ORD-00404</t>
  </si>
  <si>
    <t>CUST-5234</t>
  </si>
  <si>
    <t>ORD-00405</t>
  </si>
  <si>
    <t>CUST-7988</t>
  </si>
  <si>
    <t>ORD-00406</t>
  </si>
  <si>
    <t>CUST-3026</t>
  </si>
  <si>
    <t>ORD-00407</t>
  </si>
  <si>
    <t>CUST-4744</t>
  </si>
  <si>
    <t>ORD-00408</t>
  </si>
  <si>
    <t>ORD-00409</t>
  </si>
  <si>
    <t>CUST-1260</t>
  </si>
  <si>
    <t>ORD-00410</t>
  </si>
  <si>
    <t>CUST-7038</t>
  </si>
  <si>
    <t>ORD-00411</t>
  </si>
  <si>
    <t>CUST-3219</t>
  </si>
  <si>
    <t>ORD-00412</t>
  </si>
  <si>
    <t>CUST-8041</t>
  </si>
  <si>
    <t>ORD-00413</t>
  </si>
  <si>
    <t>CUST-3060</t>
  </si>
  <si>
    <t>ORD-00414</t>
  </si>
  <si>
    <t>CUST-6287</t>
  </si>
  <si>
    <t>ORD-00415</t>
  </si>
  <si>
    <t>CUST-2619</t>
  </si>
  <si>
    <t>ORD-00416</t>
  </si>
  <si>
    <t>CUST-9512</t>
  </si>
  <si>
    <t>ORD-00417</t>
  </si>
  <si>
    <t>CUST-2342</t>
  </si>
  <si>
    <t>ORD-00418</t>
  </si>
  <si>
    <t>ORD-00419</t>
  </si>
  <si>
    <t>CUST-3824</t>
  </si>
  <si>
    <t>ORD-00420</t>
  </si>
  <si>
    <t>CUST-2994</t>
  </si>
  <si>
    <t>ORD-00421</t>
  </si>
  <si>
    <t>CUST-4490</t>
  </si>
  <si>
    <t>ORD-00422</t>
  </si>
  <si>
    <t>CUST-8984</t>
  </si>
  <si>
    <t>ORD-00423</t>
  </si>
  <si>
    <t>CUST-2604</t>
  </si>
  <si>
    <t>ORD-00424</t>
  </si>
  <si>
    <t>CUST-1235</t>
  </si>
  <si>
    <t>ORD-00425</t>
  </si>
  <si>
    <t>CUST-2908</t>
  </si>
  <si>
    <t>ORD-00426</t>
  </si>
  <si>
    <t>CUST-9567</t>
  </si>
  <si>
    <t>ORD-00427</t>
  </si>
  <si>
    <t>CUST-4530</t>
  </si>
  <si>
    <t>ORD-00428</t>
  </si>
  <si>
    <t>CUST-6256</t>
  </si>
  <si>
    <t>ORD-00429</t>
  </si>
  <si>
    <t>CUST-3635</t>
  </si>
  <si>
    <t>ORD-00430</t>
  </si>
  <si>
    <t>CUST-9162</t>
  </si>
  <si>
    <t>ORD-00431</t>
  </si>
  <si>
    <t>CUST-3560</t>
  </si>
  <si>
    <t>ORD-00432</t>
  </si>
  <si>
    <t>CUST-6415</t>
  </si>
  <si>
    <t>ORD-00433</t>
  </si>
  <si>
    <t>CUST-4391</t>
  </si>
  <si>
    <t>ORD-00434</t>
  </si>
  <si>
    <t>CUST-6951</t>
  </si>
  <si>
    <t>ORD-00435</t>
  </si>
  <si>
    <t>CUST-6468</t>
  </si>
  <si>
    <t>ORD-00436</t>
  </si>
  <si>
    <t>CUST-9007</t>
  </si>
  <si>
    <t>ORD-00437</t>
  </si>
  <si>
    <t>CUST-7413</t>
  </si>
  <si>
    <t>ORD-00438</t>
  </si>
  <si>
    <t>ORD-00439</t>
  </si>
  <si>
    <t>CUST-5820</t>
  </si>
  <si>
    <t>ORD-00440</t>
  </si>
  <si>
    <t>CUST-3898</t>
  </si>
  <si>
    <t>ORD-00441</t>
  </si>
  <si>
    <t>CUST-8546</t>
  </si>
  <si>
    <t>ORD-00442</t>
  </si>
  <si>
    <t>CUST-1077</t>
  </si>
  <si>
    <t>ORD-00443</t>
  </si>
  <si>
    <t>CUST-8577</t>
  </si>
  <si>
    <t>ORD-00444</t>
  </si>
  <si>
    <t>CUST-5227</t>
  </si>
  <si>
    <t>ORD-00445</t>
  </si>
  <si>
    <t>CUST-1600</t>
  </si>
  <si>
    <t>ORD-00446</t>
  </si>
  <si>
    <t>CUST-2065</t>
  </si>
  <si>
    <t>ORD-00447</t>
  </si>
  <si>
    <t>CUST-3136</t>
  </si>
  <si>
    <t>ORD-00448</t>
  </si>
  <si>
    <t>CUST-7943</t>
  </si>
  <si>
    <t>ORD-00449</t>
  </si>
  <si>
    <t>CUST-8804</t>
  </si>
  <si>
    <t>ORD-00450</t>
  </si>
  <si>
    <t>CUST-7565</t>
  </si>
  <si>
    <t>ORD-00451</t>
  </si>
  <si>
    <t>CUST-6984</t>
  </si>
  <si>
    <t>ORD-00452</t>
  </si>
  <si>
    <t>CUST-6142</t>
  </si>
  <si>
    <t>ORD-00453</t>
  </si>
  <si>
    <t>CUST-5670</t>
  </si>
  <si>
    <t>ORD-00454</t>
  </si>
  <si>
    <t>CUST-3190</t>
  </si>
  <si>
    <t>ORD-00455</t>
  </si>
  <si>
    <t>CUST-3712</t>
  </si>
  <si>
    <t>ORD-00456</t>
  </si>
  <si>
    <t>CUST-3192</t>
  </si>
  <si>
    <t>ORD-00457</t>
  </si>
  <si>
    <t>CUST-2248</t>
  </si>
  <si>
    <t>ORD-00458</t>
  </si>
  <si>
    <t>CUST-5033</t>
  </si>
  <si>
    <t>ORD-00459</t>
  </si>
  <si>
    <t>CUST-2997</t>
  </si>
  <si>
    <t>ORD-00460</t>
  </si>
  <si>
    <t>CUST-4687</t>
  </si>
  <si>
    <t>ORD-00461</t>
  </si>
  <si>
    <t>CUST-5018</t>
  </si>
  <si>
    <t>ORD-00462</t>
  </si>
  <si>
    <t>CUST-2970</t>
  </si>
  <si>
    <t>ORD-00463</t>
  </si>
  <si>
    <t>CUST-9389</t>
  </si>
  <si>
    <t>ORD-00464</t>
  </si>
  <si>
    <t>CUST-6765</t>
  </si>
  <si>
    <t>ORD-00465</t>
  </si>
  <si>
    <t>CUST-2202</t>
  </si>
  <si>
    <t>ORD-00466</t>
  </si>
  <si>
    <t>CUST-9135</t>
  </si>
  <si>
    <t>ORD-00467</t>
  </si>
  <si>
    <t>CUST-6567</t>
  </si>
  <si>
    <t>ORD-00468</t>
  </si>
  <si>
    <t>CUST-8667</t>
  </si>
  <si>
    <t>ORD-00469</t>
  </si>
  <si>
    <t>CUST-6742</t>
  </si>
  <si>
    <t>ORD-00470</t>
  </si>
  <si>
    <t>CUST-6788</t>
  </si>
  <si>
    <t>ORD-00471</t>
  </si>
  <si>
    <t>CUST-6408</t>
  </si>
  <si>
    <t>ORD-00472</t>
  </si>
  <si>
    <t>CUST-9669</t>
  </si>
  <si>
    <t>ORD-00473</t>
  </si>
  <si>
    <t>CUST-1922</t>
  </si>
  <si>
    <t>ORD-00474</t>
  </si>
  <si>
    <t>CUST-1419</t>
  </si>
  <si>
    <t>ORD-00475</t>
  </si>
  <si>
    <t>CUST-3204</t>
  </si>
  <si>
    <t>ORD-00476</t>
  </si>
  <si>
    <t>CUST-2120</t>
  </si>
  <si>
    <t>ORD-00477</t>
  </si>
  <si>
    <t>CUST-1950</t>
  </si>
  <si>
    <t>ORD-00478</t>
  </si>
  <si>
    <t>CUST-3336</t>
  </si>
  <si>
    <t>ORD-00479</t>
  </si>
  <si>
    <t>CUST-6373</t>
  </si>
  <si>
    <t>ORD-00480</t>
  </si>
  <si>
    <t>CUST-3243</t>
  </si>
  <si>
    <t>ORD-00481</t>
  </si>
  <si>
    <t>CUST-3645</t>
  </si>
  <si>
    <t>ORD-00482</t>
  </si>
  <si>
    <t>CUST-5612</t>
  </si>
  <si>
    <t>ORD-00483</t>
  </si>
  <si>
    <t>CUST-2865</t>
  </si>
  <si>
    <t>ORD-00484</t>
  </si>
  <si>
    <t>CUST-7028</t>
  </si>
  <si>
    <t>ORD-00485</t>
  </si>
  <si>
    <t>CUST-8326</t>
  </si>
  <si>
    <t>ORD-00486</t>
  </si>
  <si>
    <t>ORD-00487</t>
  </si>
  <si>
    <t>CUST-7359</t>
  </si>
  <si>
    <t>ORD-00488</t>
  </si>
  <si>
    <t>CUST-8863</t>
  </si>
  <si>
    <t>ORD-00489</t>
  </si>
  <si>
    <t>CUST-4228</t>
  </si>
  <si>
    <t>ORD-00490</t>
  </si>
  <si>
    <t>ORD-00491</t>
  </si>
  <si>
    <t>CUST-3371</t>
  </si>
  <si>
    <t>ORD-00492</t>
  </si>
  <si>
    <t>CUST-3891</t>
  </si>
  <si>
    <t>ORD-00493</t>
  </si>
  <si>
    <t>CUST-4756</t>
  </si>
  <si>
    <t>ORD-00494</t>
  </si>
  <si>
    <t>CUST-5225</t>
  </si>
  <si>
    <t>ORD-00495</t>
  </si>
  <si>
    <t>CUST-1094</t>
  </si>
  <si>
    <t>ORD-00496</t>
  </si>
  <si>
    <t>CUST-3674</t>
  </si>
  <si>
    <t>ORD-00497</t>
  </si>
  <si>
    <t>CUST-7898</t>
  </si>
  <si>
    <t>ORD-00498</t>
  </si>
  <si>
    <t>CUST-1793</t>
  </si>
  <si>
    <t>ORD-00499</t>
  </si>
  <si>
    <t>CUST-3116</t>
  </si>
  <si>
    <t>ORD-00500</t>
  </si>
  <si>
    <t>CUST-6779</t>
  </si>
  <si>
    <t>Sales</t>
  </si>
  <si>
    <t>Week_No</t>
  </si>
  <si>
    <t>Month</t>
  </si>
  <si>
    <t>Quarter</t>
  </si>
  <si>
    <t>Rating_Band</t>
  </si>
  <si>
    <t>Delivery_Status</t>
  </si>
  <si>
    <t>Sales Trend</t>
  </si>
  <si>
    <t>Week No</t>
  </si>
  <si>
    <t>Sales Sum</t>
  </si>
  <si>
    <t>Channel Analysis</t>
  </si>
  <si>
    <t>Product Performance</t>
  </si>
  <si>
    <t>Gender Distribution</t>
  </si>
  <si>
    <t>Customer Count</t>
  </si>
  <si>
    <t>Region Analysis</t>
  </si>
  <si>
    <t>KPI Name</t>
  </si>
  <si>
    <t>Value</t>
  </si>
  <si>
    <t>Total Orders</t>
  </si>
  <si>
    <t>Total Quantity</t>
  </si>
  <si>
    <t>Total Sales</t>
  </si>
  <si>
    <t>Avg Rating</t>
  </si>
  <si>
    <t>Avg Delivery</t>
  </si>
  <si>
    <t>Repeat Customers</t>
  </si>
  <si>
    <t>Growth %</t>
  </si>
  <si>
    <t>EXECUTIVE E-COMMERCE INTELLIGENCE DASHBOARD</t>
  </si>
  <si>
    <t>AI Narrative Engine</t>
  </si>
  <si>
    <t>Sales Insight</t>
  </si>
  <si>
    <t>Delivery Alert</t>
  </si>
  <si>
    <t>Rating Anomaly</t>
  </si>
  <si>
    <t>AI Executive Insights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</si>
</sst>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$#,##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4"/>
      <color rgb="FF003A70"/>
      <name val="Calibri"/>
      <family val="2"/>
      <scheme val="minor"/>
    </font>
    <font>
      <b/>
      <sz val="12"/>
      <color rgb="FF5F6B7A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0"/>
      <color rgb="FF003A70"/>
      <name val="Calibri"/>
      <family val="2"/>
      <scheme val="minor"/>
    </font>
    <font>
      <b/>
      <sz val="20"/>
      <color rgb="FF00A676"/>
      <name val="Calibri"/>
      <family val="2"/>
      <scheme val="minor"/>
    </font>
    <font>
      <sz val="11"/>
      <color rgb="FF4254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A70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57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6" fontId="6" fillId="4" borderId="0" xfId="0" applyNumberFormat="1" applyFont="1" applyFill="1" applyAlignment="1">
      <alignment horizontal="center"/>
    </xf>
    <xf numFmtId="0" fontId="7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5F6B7A"/>
                </a:solidFill>
              </a:defRPr>
            </a:pPr>
            <a:r>
              <a:rPr lang="en-US" baseline="0">
                <a:solidFill>
                  <a:srgbClr val="5F6B7A"/>
                </a:solidFill>
              </a:rPr>
              <a:t>Sales Trend (Weekly)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 Trend</c:v>
          </c:tx>
          <c:spPr>
            <a:ln w="31750">
              <a:solidFill>
                <a:srgbClr val="003A70"/>
              </a:solidFill>
            </a:ln>
          </c:spPr>
          <c:marker>
            <c:symbol val="none"/>
          </c:marker>
          <c:cat>
            <c:numRef>
              <c:f>PIVOT_ENGINE!$A$3:$A$54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PIVOT_ENGINE!$B$3:$B$54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>
      <a:solidFill>
        <a:srgbClr val="D9E2E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5F6B7A"/>
                </a:solidFill>
              </a:defRPr>
            </a:pPr>
            <a:r>
              <a:rPr lang="en-US" baseline="0">
                <a:solidFill>
                  <a:srgbClr val="5F6B7A"/>
                </a:solidFill>
              </a:rPr>
              <a:t>Channel Performance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Channel Sales</c:v>
          </c:tx>
          <c:spPr>
            <a:solidFill>
              <a:srgbClr val="00A676"/>
            </a:solidFill>
          </c:spPr>
          <c:cat>
            <c:strRef>
              <c:f>PIVOT_ENGINE!$D$3:$D$6</c:f>
              <c:strCache>
                <c:ptCount val="4"/>
                <c:pt idx="0">
                  <c:v>Organic</c:v>
                </c:pt>
                <c:pt idx="1">
                  <c:v>Paid Search</c:v>
                </c:pt>
                <c:pt idx="2">
                  <c:v>Social</c:v>
                </c:pt>
                <c:pt idx="3">
                  <c:v>Direct</c:v>
                </c:pt>
              </c:strCache>
            </c:strRef>
          </c:cat>
          <c:val>
            <c:numRef>
              <c:f>PIVOT_ENGINE!$E$3:$E$6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D9E2E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5F6B7A"/>
                </a:solidFill>
              </a:defRPr>
            </a:pPr>
            <a:r>
              <a:rPr lang="en-US" baseline="0">
                <a:solidFill>
                  <a:srgbClr val="5F6B7A"/>
                </a:solidFill>
              </a:rPr>
              <a:t>Product Performance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Product Sales</c:v>
          </c:tx>
          <c:spPr>
            <a:solidFill>
              <a:srgbClr val="425466"/>
            </a:solidFill>
          </c:spPr>
          <c:cat>
            <c:strRef>
              <c:f>PIVOT_ENGINE!$G$3:$G$7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Tablet</c:v>
                </c:pt>
                <c:pt idx="3">
                  <c:v>Monitor</c:v>
                </c:pt>
                <c:pt idx="4">
                  <c:v>Headphones</c:v>
                </c:pt>
              </c:strCache>
            </c:strRef>
          </c:cat>
          <c:val>
            <c:numRef>
              <c:f>PIVOT_ENGINE!$H$3:$H$7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D9E2E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5F6B7A"/>
                </a:solidFill>
              </a:defRPr>
            </a:pPr>
            <a:r>
              <a:rPr lang="en-US" baseline="0">
                <a:solidFill>
                  <a:srgbClr val="5F6B7A"/>
                </a:solidFill>
              </a:rPr>
              <a:t>Region Analysis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3A70"/>
              </a:solidFill>
            </c:spPr>
          </c:dPt>
          <c:dPt>
            <c:idx val="1"/>
            <c:spPr>
              <a:solidFill>
                <a:srgbClr val="00A676"/>
              </a:solidFill>
            </c:spPr>
          </c:dPt>
          <c:dPt>
            <c:idx val="2"/>
            <c:spPr>
              <a:solidFill>
                <a:srgbClr val="425466"/>
              </a:solidFill>
            </c:spPr>
          </c:dPt>
          <c:dPt>
            <c:idx val="3"/>
            <c:spPr>
              <a:solidFill>
                <a:srgbClr val="E4572E"/>
              </a:solidFill>
            </c:spPr>
          </c:dPt>
          <c:cat>
            <c:strRef>
              <c:f>PIVOT_ENGINE!$M$3:$M$6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PIVOT_ENGINE!$N$3:$N$6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9E2E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12</xdr:col>
      <xdr:colOff>152400</xdr:colOff>
      <xdr:row>23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14</xdr:col>
      <xdr:colOff>419100</xdr:colOff>
      <xdr:row>23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10</xdr:col>
      <xdr:colOff>0</xdr:colOff>
      <xdr:row>41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114300</xdr:colOff>
      <xdr:row>41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45029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1200</v>
      </c>
      <c r="J2">
        <v>3</v>
      </c>
      <c r="K2">
        <v>6</v>
      </c>
      <c r="L2" t="s">
        <v>18</v>
      </c>
    </row>
    <row r="3" spans="1:12">
      <c r="A3" t="s">
        <v>19</v>
      </c>
      <c r="B3" s="2">
        <v>45275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4</v>
      </c>
      <c r="I3">
        <v>1200</v>
      </c>
      <c r="J3">
        <v>5</v>
      </c>
      <c r="K3">
        <v>8</v>
      </c>
      <c r="L3" t="s">
        <v>18</v>
      </c>
    </row>
    <row r="4" spans="1:12">
      <c r="A4" t="s">
        <v>25</v>
      </c>
      <c r="B4" s="2">
        <v>45197</v>
      </c>
      <c r="C4" t="s">
        <v>26</v>
      </c>
      <c r="D4" t="s">
        <v>21</v>
      </c>
      <c r="E4" t="s">
        <v>27</v>
      </c>
      <c r="F4" t="s">
        <v>16</v>
      </c>
      <c r="G4" t="s">
        <v>24</v>
      </c>
      <c r="H4">
        <v>1</v>
      </c>
      <c r="I4">
        <v>800</v>
      </c>
      <c r="J4">
        <v>5</v>
      </c>
      <c r="K4">
        <v>1</v>
      </c>
      <c r="L4" t="s">
        <v>28</v>
      </c>
    </row>
    <row r="5" spans="1:12">
      <c r="A5" t="s">
        <v>29</v>
      </c>
      <c r="B5" s="2">
        <v>45033</v>
      </c>
      <c r="C5" t="s">
        <v>30</v>
      </c>
      <c r="D5" t="s">
        <v>21</v>
      </c>
      <c r="E5" t="s">
        <v>31</v>
      </c>
      <c r="F5" t="s">
        <v>32</v>
      </c>
      <c r="G5" t="s">
        <v>17</v>
      </c>
      <c r="H5">
        <v>2</v>
      </c>
      <c r="I5">
        <v>1200</v>
      </c>
      <c r="J5">
        <v>1</v>
      </c>
      <c r="K5">
        <v>2</v>
      </c>
      <c r="L5" t="s">
        <v>33</v>
      </c>
    </row>
    <row r="6" spans="1:12">
      <c r="A6" t="s">
        <v>34</v>
      </c>
      <c r="B6" s="2">
        <v>44998</v>
      </c>
      <c r="C6" t="s">
        <v>35</v>
      </c>
      <c r="D6" t="s">
        <v>21</v>
      </c>
      <c r="E6" t="s">
        <v>15</v>
      </c>
      <c r="F6" t="s">
        <v>16</v>
      </c>
      <c r="G6" t="s">
        <v>17</v>
      </c>
      <c r="H6">
        <v>4</v>
      </c>
      <c r="I6">
        <v>500</v>
      </c>
      <c r="J6">
        <v>4</v>
      </c>
      <c r="K6">
        <v>9</v>
      </c>
      <c r="L6" t="s">
        <v>33</v>
      </c>
    </row>
    <row r="7" spans="1:12">
      <c r="A7" t="s">
        <v>36</v>
      </c>
      <c r="B7" s="2">
        <v>45115</v>
      </c>
      <c r="C7" t="s">
        <v>37</v>
      </c>
      <c r="D7" t="s">
        <v>14</v>
      </c>
      <c r="E7" t="s">
        <v>15</v>
      </c>
      <c r="F7" t="s">
        <v>16</v>
      </c>
      <c r="G7" t="s">
        <v>24</v>
      </c>
      <c r="H7">
        <v>4</v>
      </c>
      <c r="I7">
        <v>800</v>
      </c>
      <c r="J7">
        <v>3</v>
      </c>
      <c r="K7">
        <v>3</v>
      </c>
      <c r="L7" t="s">
        <v>33</v>
      </c>
    </row>
    <row r="8" spans="1:12">
      <c r="A8" t="s">
        <v>38</v>
      </c>
      <c r="B8" s="2">
        <v>44947</v>
      </c>
      <c r="C8" t="s">
        <v>39</v>
      </c>
      <c r="D8" t="s">
        <v>14</v>
      </c>
      <c r="E8" t="s">
        <v>22</v>
      </c>
      <c r="F8" t="s">
        <v>32</v>
      </c>
      <c r="G8" t="s">
        <v>17</v>
      </c>
      <c r="H8">
        <v>2</v>
      </c>
      <c r="I8">
        <v>150</v>
      </c>
      <c r="J8">
        <v>1</v>
      </c>
      <c r="K8">
        <v>6</v>
      </c>
      <c r="L8" t="s">
        <v>28</v>
      </c>
    </row>
    <row r="9" spans="1:12">
      <c r="A9" t="s">
        <v>40</v>
      </c>
      <c r="B9" s="2">
        <v>45029</v>
      </c>
      <c r="C9" t="s">
        <v>41</v>
      </c>
      <c r="D9" t="s">
        <v>21</v>
      </c>
      <c r="E9" t="s">
        <v>31</v>
      </c>
      <c r="F9" t="s">
        <v>16</v>
      </c>
      <c r="G9" t="s">
        <v>24</v>
      </c>
      <c r="H9">
        <v>2</v>
      </c>
      <c r="I9">
        <v>1200</v>
      </c>
      <c r="J9">
        <v>4</v>
      </c>
      <c r="K9">
        <v>5</v>
      </c>
      <c r="L9" t="s">
        <v>18</v>
      </c>
    </row>
    <row r="10" spans="1:12">
      <c r="A10" t="s">
        <v>42</v>
      </c>
      <c r="B10" s="2">
        <v>45048</v>
      </c>
      <c r="C10" t="s">
        <v>43</v>
      </c>
      <c r="D10" t="s">
        <v>21</v>
      </c>
      <c r="E10" t="s">
        <v>22</v>
      </c>
      <c r="F10" t="s">
        <v>44</v>
      </c>
      <c r="G10" t="s">
        <v>24</v>
      </c>
      <c r="H10">
        <v>2</v>
      </c>
      <c r="I10">
        <v>1200</v>
      </c>
      <c r="J10">
        <v>1</v>
      </c>
      <c r="K10">
        <v>2</v>
      </c>
      <c r="L10" t="s">
        <v>33</v>
      </c>
    </row>
    <row r="11" spans="1:12">
      <c r="A11" t="s">
        <v>45</v>
      </c>
      <c r="B11" s="2">
        <v>45141</v>
      </c>
      <c r="C11" t="s">
        <v>46</v>
      </c>
      <c r="D11" t="s">
        <v>14</v>
      </c>
      <c r="E11" t="s">
        <v>31</v>
      </c>
      <c r="F11" t="s">
        <v>44</v>
      </c>
      <c r="G11" t="s">
        <v>17</v>
      </c>
      <c r="H11">
        <v>4</v>
      </c>
      <c r="I11">
        <v>150</v>
      </c>
      <c r="J11">
        <v>1</v>
      </c>
      <c r="K11">
        <v>7</v>
      </c>
      <c r="L11" t="s">
        <v>33</v>
      </c>
    </row>
    <row r="12" spans="1:12">
      <c r="A12" t="s">
        <v>47</v>
      </c>
      <c r="B12" s="2">
        <v>45257</v>
      </c>
      <c r="C12" t="s">
        <v>48</v>
      </c>
      <c r="D12" t="s">
        <v>21</v>
      </c>
      <c r="E12" t="s">
        <v>31</v>
      </c>
      <c r="F12" t="s">
        <v>16</v>
      </c>
      <c r="G12" t="s">
        <v>17</v>
      </c>
      <c r="H12">
        <v>3</v>
      </c>
      <c r="I12">
        <v>1200</v>
      </c>
      <c r="J12">
        <v>5</v>
      </c>
      <c r="K12">
        <v>4</v>
      </c>
      <c r="L12" t="s">
        <v>49</v>
      </c>
    </row>
    <row r="13" spans="1:12">
      <c r="A13" t="s">
        <v>50</v>
      </c>
      <c r="B13" s="2">
        <v>45014</v>
      </c>
      <c r="C13" t="s">
        <v>51</v>
      </c>
      <c r="D13" t="s">
        <v>52</v>
      </c>
      <c r="E13" t="s">
        <v>31</v>
      </c>
      <c r="F13" t="s">
        <v>23</v>
      </c>
      <c r="G13" t="s">
        <v>17</v>
      </c>
      <c r="H13">
        <v>3</v>
      </c>
      <c r="I13">
        <v>150</v>
      </c>
      <c r="J13">
        <v>4</v>
      </c>
      <c r="K13">
        <v>1</v>
      </c>
      <c r="L13" t="s">
        <v>33</v>
      </c>
    </row>
    <row r="14" spans="1:12">
      <c r="A14" t="s">
        <v>53</v>
      </c>
      <c r="B14" s="2">
        <v>45026</v>
      </c>
      <c r="C14" t="s">
        <v>54</v>
      </c>
      <c r="D14" t="s">
        <v>21</v>
      </c>
      <c r="E14" t="s">
        <v>15</v>
      </c>
      <c r="F14" t="s">
        <v>32</v>
      </c>
      <c r="G14" t="s">
        <v>17</v>
      </c>
      <c r="H14">
        <v>3</v>
      </c>
      <c r="I14">
        <v>800</v>
      </c>
      <c r="J14">
        <v>3</v>
      </c>
      <c r="K14">
        <v>4</v>
      </c>
      <c r="L14" t="s">
        <v>18</v>
      </c>
    </row>
    <row r="15" spans="1:12">
      <c r="A15" t="s">
        <v>55</v>
      </c>
      <c r="B15" s="2">
        <v>45286</v>
      </c>
      <c r="C15" t="s">
        <v>56</v>
      </c>
      <c r="D15" t="s">
        <v>21</v>
      </c>
      <c r="E15" t="s">
        <v>27</v>
      </c>
      <c r="F15" t="s">
        <v>44</v>
      </c>
      <c r="G15" t="s">
        <v>17</v>
      </c>
      <c r="H15">
        <v>4</v>
      </c>
      <c r="I15">
        <v>500</v>
      </c>
      <c r="J15">
        <v>3</v>
      </c>
      <c r="K15">
        <v>6</v>
      </c>
      <c r="L15" t="s">
        <v>18</v>
      </c>
    </row>
    <row r="16" spans="1:12">
      <c r="A16" t="s">
        <v>57</v>
      </c>
      <c r="B16" s="2">
        <v>45078</v>
      </c>
      <c r="C16" t="s">
        <v>58</v>
      </c>
      <c r="D16" t="s">
        <v>52</v>
      </c>
      <c r="E16" t="s">
        <v>22</v>
      </c>
      <c r="F16" t="s">
        <v>23</v>
      </c>
      <c r="G16" t="s">
        <v>24</v>
      </c>
      <c r="H16">
        <v>2</v>
      </c>
      <c r="I16">
        <v>150</v>
      </c>
      <c r="J16">
        <v>4</v>
      </c>
      <c r="K16">
        <v>7</v>
      </c>
      <c r="L16" t="s">
        <v>49</v>
      </c>
    </row>
    <row r="17" spans="1:12">
      <c r="A17" t="s">
        <v>59</v>
      </c>
      <c r="B17" s="2">
        <v>45057</v>
      </c>
      <c r="C17" t="s">
        <v>60</v>
      </c>
      <c r="D17" t="s">
        <v>52</v>
      </c>
      <c r="E17" t="s">
        <v>27</v>
      </c>
      <c r="F17" t="s">
        <v>16</v>
      </c>
      <c r="G17" t="s">
        <v>24</v>
      </c>
      <c r="H17">
        <v>4</v>
      </c>
      <c r="I17">
        <v>300</v>
      </c>
      <c r="J17">
        <v>5</v>
      </c>
      <c r="K17">
        <v>7</v>
      </c>
      <c r="L17" t="s">
        <v>33</v>
      </c>
    </row>
    <row r="18" spans="1:12">
      <c r="A18" t="s">
        <v>61</v>
      </c>
      <c r="B18" s="2">
        <v>45076</v>
      </c>
      <c r="C18" t="s">
        <v>62</v>
      </c>
      <c r="D18" t="s">
        <v>14</v>
      </c>
      <c r="E18" t="s">
        <v>22</v>
      </c>
      <c r="F18" t="s">
        <v>23</v>
      </c>
      <c r="G18" t="s">
        <v>17</v>
      </c>
      <c r="H18">
        <v>2</v>
      </c>
      <c r="I18">
        <v>150</v>
      </c>
      <c r="J18">
        <v>2</v>
      </c>
      <c r="K18">
        <v>7</v>
      </c>
      <c r="L18" t="s">
        <v>33</v>
      </c>
    </row>
    <row r="19" spans="1:12">
      <c r="A19" t="s">
        <v>63</v>
      </c>
      <c r="B19" s="2">
        <v>45235</v>
      </c>
      <c r="C19" t="s">
        <v>64</v>
      </c>
      <c r="D19" t="s">
        <v>14</v>
      </c>
      <c r="E19" t="s">
        <v>31</v>
      </c>
      <c r="F19" t="s">
        <v>65</v>
      </c>
      <c r="G19" t="s">
        <v>17</v>
      </c>
      <c r="H19">
        <v>4</v>
      </c>
      <c r="I19">
        <v>1200</v>
      </c>
      <c r="J19">
        <v>1</v>
      </c>
      <c r="K19">
        <v>3</v>
      </c>
      <c r="L19" t="s">
        <v>33</v>
      </c>
    </row>
    <row r="20" spans="1:12">
      <c r="A20" t="s">
        <v>66</v>
      </c>
      <c r="B20" s="2">
        <v>45184</v>
      </c>
      <c r="C20" t="s">
        <v>67</v>
      </c>
      <c r="D20" t="s">
        <v>52</v>
      </c>
      <c r="E20" t="s">
        <v>15</v>
      </c>
      <c r="F20" t="s">
        <v>44</v>
      </c>
      <c r="G20" t="s">
        <v>17</v>
      </c>
      <c r="H20">
        <v>4</v>
      </c>
      <c r="I20">
        <v>800</v>
      </c>
      <c r="J20">
        <v>5</v>
      </c>
      <c r="K20">
        <v>6</v>
      </c>
      <c r="L20" t="s">
        <v>28</v>
      </c>
    </row>
    <row r="21" spans="1:12">
      <c r="A21" t="s">
        <v>68</v>
      </c>
      <c r="B21" s="2">
        <v>45270</v>
      </c>
      <c r="C21" t="s">
        <v>69</v>
      </c>
      <c r="D21" t="s">
        <v>52</v>
      </c>
      <c r="E21" t="s">
        <v>27</v>
      </c>
      <c r="F21" t="s">
        <v>16</v>
      </c>
      <c r="G21" t="s">
        <v>24</v>
      </c>
      <c r="H21">
        <v>2</v>
      </c>
      <c r="I21">
        <v>800</v>
      </c>
      <c r="J21">
        <v>4</v>
      </c>
      <c r="K21">
        <v>8</v>
      </c>
      <c r="L21" t="s">
        <v>33</v>
      </c>
    </row>
    <row r="22" spans="1:12">
      <c r="A22" t="s">
        <v>70</v>
      </c>
      <c r="B22" s="2">
        <v>45220</v>
      </c>
      <c r="C22" t="s">
        <v>71</v>
      </c>
      <c r="D22" t="s">
        <v>14</v>
      </c>
      <c r="E22" t="s">
        <v>15</v>
      </c>
      <c r="F22" t="s">
        <v>32</v>
      </c>
      <c r="G22" t="s">
        <v>17</v>
      </c>
      <c r="H22">
        <v>3</v>
      </c>
      <c r="I22">
        <v>150</v>
      </c>
      <c r="J22">
        <v>1</v>
      </c>
      <c r="K22">
        <v>4</v>
      </c>
      <c r="L22" t="s">
        <v>18</v>
      </c>
    </row>
    <row r="23" spans="1:12">
      <c r="A23" t="s">
        <v>72</v>
      </c>
      <c r="B23" s="2">
        <v>45118</v>
      </c>
      <c r="C23" t="s">
        <v>73</v>
      </c>
      <c r="D23" t="s">
        <v>21</v>
      </c>
      <c r="E23" t="s">
        <v>22</v>
      </c>
      <c r="F23" t="s">
        <v>16</v>
      </c>
      <c r="G23" t="s">
        <v>17</v>
      </c>
      <c r="H23">
        <v>2</v>
      </c>
      <c r="I23">
        <v>500</v>
      </c>
      <c r="J23">
        <v>3</v>
      </c>
      <c r="K23">
        <v>8</v>
      </c>
      <c r="L23" t="s">
        <v>18</v>
      </c>
    </row>
    <row r="24" spans="1:12">
      <c r="A24" t="s">
        <v>74</v>
      </c>
      <c r="B24" s="2">
        <v>45203</v>
      </c>
      <c r="C24" t="s">
        <v>75</v>
      </c>
      <c r="D24" t="s">
        <v>52</v>
      </c>
      <c r="E24" t="s">
        <v>15</v>
      </c>
      <c r="F24" t="s">
        <v>32</v>
      </c>
      <c r="G24" t="s">
        <v>24</v>
      </c>
      <c r="H24">
        <v>1</v>
      </c>
      <c r="I24">
        <v>300</v>
      </c>
      <c r="J24">
        <v>2</v>
      </c>
      <c r="K24">
        <v>2</v>
      </c>
      <c r="L24" t="s">
        <v>28</v>
      </c>
    </row>
    <row r="25" spans="1:12">
      <c r="A25" t="s">
        <v>76</v>
      </c>
      <c r="B25" s="2">
        <v>45087</v>
      </c>
      <c r="C25" t="s">
        <v>77</v>
      </c>
      <c r="D25" t="s">
        <v>14</v>
      </c>
      <c r="E25" t="s">
        <v>15</v>
      </c>
      <c r="F25" t="s">
        <v>16</v>
      </c>
      <c r="G25" t="s">
        <v>24</v>
      </c>
      <c r="H25">
        <v>1</v>
      </c>
      <c r="I25">
        <v>800</v>
      </c>
      <c r="J25">
        <v>3</v>
      </c>
      <c r="K25">
        <v>9</v>
      </c>
      <c r="L25" t="s">
        <v>28</v>
      </c>
    </row>
    <row r="26" spans="1:12">
      <c r="A26" t="s">
        <v>78</v>
      </c>
      <c r="B26" s="2">
        <v>45240</v>
      </c>
      <c r="C26" t="s">
        <v>79</v>
      </c>
      <c r="D26" t="s">
        <v>21</v>
      </c>
      <c r="E26" t="s">
        <v>27</v>
      </c>
      <c r="F26" t="s">
        <v>23</v>
      </c>
      <c r="G26" t="s">
        <v>17</v>
      </c>
      <c r="H26">
        <v>2</v>
      </c>
      <c r="I26">
        <v>1200</v>
      </c>
      <c r="J26">
        <v>4</v>
      </c>
      <c r="K26">
        <v>9</v>
      </c>
      <c r="L26" t="s">
        <v>33</v>
      </c>
    </row>
    <row r="27" spans="1:12">
      <c r="A27" t="s">
        <v>80</v>
      </c>
      <c r="B27" s="2">
        <v>44948</v>
      </c>
      <c r="C27" t="s">
        <v>81</v>
      </c>
      <c r="D27" t="s">
        <v>52</v>
      </c>
      <c r="E27" t="s">
        <v>31</v>
      </c>
      <c r="F27" t="s">
        <v>23</v>
      </c>
      <c r="G27" t="s">
        <v>17</v>
      </c>
      <c r="H27">
        <v>4</v>
      </c>
      <c r="I27">
        <v>1200</v>
      </c>
      <c r="J27">
        <v>1</v>
      </c>
      <c r="K27">
        <v>8</v>
      </c>
      <c r="L27" t="s">
        <v>49</v>
      </c>
    </row>
    <row r="28" spans="1:12">
      <c r="A28" t="s">
        <v>82</v>
      </c>
      <c r="B28" s="2">
        <v>45179</v>
      </c>
      <c r="C28" t="s">
        <v>83</v>
      </c>
      <c r="D28" t="s">
        <v>21</v>
      </c>
      <c r="E28" t="s">
        <v>15</v>
      </c>
      <c r="F28" t="s">
        <v>23</v>
      </c>
      <c r="G28" t="s">
        <v>17</v>
      </c>
      <c r="H28">
        <v>1</v>
      </c>
      <c r="I28">
        <v>500</v>
      </c>
      <c r="J28">
        <v>4</v>
      </c>
      <c r="K28">
        <v>1</v>
      </c>
      <c r="L28" t="s">
        <v>28</v>
      </c>
    </row>
    <row r="29" spans="1:12">
      <c r="A29" t="s">
        <v>84</v>
      </c>
      <c r="B29" s="2">
        <v>45162</v>
      </c>
      <c r="C29" t="s">
        <v>85</v>
      </c>
      <c r="D29" t="s">
        <v>14</v>
      </c>
      <c r="E29" t="s">
        <v>31</v>
      </c>
      <c r="F29" t="s">
        <v>65</v>
      </c>
      <c r="G29" t="s">
        <v>24</v>
      </c>
      <c r="H29">
        <v>1</v>
      </c>
      <c r="I29">
        <v>800</v>
      </c>
      <c r="J29">
        <v>1</v>
      </c>
      <c r="K29">
        <v>2</v>
      </c>
      <c r="L29" t="s">
        <v>28</v>
      </c>
    </row>
    <row r="30" spans="1:12">
      <c r="A30" t="s">
        <v>86</v>
      </c>
      <c r="B30" s="2">
        <v>45271</v>
      </c>
      <c r="C30" t="s">
        <v>87</v>
      </c>
      <c r="D30" t="s">
        <v>52</v>
      </c>
      <c r="E30" t="s">
        <v>22</v>
      </c>
      <c r="F30" t="s">
        <v>32</v>
      </c>
      <c r="G30" t="s">
        <v>17</v>
      </c>
      <c r="H30">
        <v>4</v>
      </c>
      <c r="I30">
        <v>150</v>
      </c>
      <c r="J30">
        <v>5</v>
      </c>
      <c r="K30">
        <v>6</v>
      </c>
      <c r="L30" t="s">
        <v>33</v>
      </c>
    </row>
    <row r="31" spans="1:12">
      <c r="A31" t="s">
        <v>88</v>
      </c>
      <c r="B31" s="2">
        <v>44975</v>
      </c>
      <c r="C31" t="s">
        <v>89</v>
      </c>
      <c r="D31" t="s">
        <v>21</v>
      </c>
      <c r="E31" t="s">
        <v>15</v>
      </c>
      <c r="F31" t="s">
        <v>23</v>
      </c>
      <c r="G31" t="s">
        <v>17</v>
      </c>
      <c r="H31">
        <v>4</v>
      </c>
      <c r="I31">
        <v>1200</v>
      </c>
      <c r="J31">
        <v>2</v>
      </c>
      <c r="K31">
        <v>5</v>
      </c>
      <c r="L31" t="s">
        <v>33</v>
      </c>
    </row>
    <row r="32" spans="1:12">
      <c r="A32" t="s">
        <v>90</v>
      </c>
      <c r="B32" s="2">
        <v>44985</v>
      </c>
      <c r="C32" t="s">
        <v>91</v>
      </c>
      <c r="D32" t="s">
        <v>52</v>
      </c>
      <c r="E32" t="s">
        <v>27</v>
      </c>
      <c r="F32" t="s">
        <v>65</v>
      </c>
      <c r="G32" t="s">
        <v>17</v>
      </c>
      <c r="H32">
        <v>3</v>
      </c>
      <c r="I32">
        <v>500</v>
      </c>
      <c r="J32">
        <v>5</v>
      </c>
      <c r="K32">
        <v>9</v>
      </c>
      <c r="L32" t="s">
        <v>28</v>
      </c>
    </row>
    <row r="33" spans="1:12">
      <c r="A33" t="s">
        <v>92</v>
      </c>
      <c r="B33" s="2">
        <v>45096</v>
      </c>
      <c r="C33" t="s">
        <v>93</v>
      </c>
      <c r="D33" t="s">
        <v>21</v>
      </c>
      <c r="E33" t="s">
        <v>22</v>
      </c>
      <c r="F33" t="s">
        <v>32</v>
      </c>
      <c r="G33" t="s">
        <v>24</v>
      </c>
      <c r="H33">
        <v>4</v>
      </c>
      <c r="I33">
        <v>800</v>
      </c>
      <c r="J33">
        <v>5</v>
      </c>
      <c r="K33">
        <v>5</v>
      </c>
      <c r="L33" t="s">
        <v>49</v>
      </c>
    </row>
    <row r="34" spans="1:12">
      <c r="A34" t="s">
        <v>94</v>
      </c>
      <c r="B34" s="2">
        <v>45114</v>
      </c>
      <c r="C34" t="s">
        <v>95</v>
      </c>
      <c r="D34" t="s">
        <v>14</v>
      </c>
      <c r="E34" t="s">
        <v>22</v>
      </c>
      <c r="F34" t="s">
        <v>16</v>
      </c>
      <c r="G34" t="s">
        <v>24</v>
      </c>
      <c r="H34">
        <v>2</v>
      </c>
      <c r="I34">
        <v>800</v>
      </c>
      <c r="J34">
        <v>4</v>
      </c>
      <c r="K34">
        <v>2</v>
      </c>
      <c r="L34" t="s">
        <v>28</v>
      </c>
    </row>
    <row r="35" spans="1:12">
      <c r="A35" t="s">
        <v>96</v>
      </c>
      <c r="B35" s="2">
        <v>45197</v>
      </c>
      <c r="C35" t="s">
        <v>97</v>
      </c>
      <c r="D35" t="s">
        <v>14</v>
      </c>
      <c r="E35" t="s">
        <v>27</v>
      </c>
      <c r="F35" t="s">
        <v>65</v>
      </c>
      <c r="G35" t="s">
        <v>17</v>
      </c>
      <c r="H35">
        <v>2</v>
      </c>
      <c r="I35">
        <v>800</v>
      </c>
      <c r="J35">
        <v>2</v>
      </c>
      <c r="K35">
        <v>4</v>
      </c>
      <c r="L35" t="s">
        <v>33</v>
      </c>
    </row>
    <row r="36" spans="1:12">
      <c r="A36" t="s">
        <v>98</v>
      </c>
      <c r="B36" s="2">
        <v>45116</v>
      </c>
      <c r="C36" t="s">
        <v>99</v>
      </c>
      <c r="D36" t="s">
        <v>52</v>
      </c>
      <c r="E36" t="s">
        <v>15</v>
      </c>
      <c r="F36" t="s">
        <v>44</v>
      </c>
      <c r="G36" t="s">
        <v>17</v>
      </c>
      <c r="H36">
        <v>3</v>
      </c>
      <c r="I36">
        <v>800</v>
      </c>
      <c r="J36">
        <v>1</v>
      </c>
      <c r="K36">
        <v>9</v>
      </c>
      <c r="L36" t="s">
        <v>33</v>
      </c>
    </row>
    <row r="37" spans="1:12">
      <c r="A37" t="s">
        <v>100</v>
      </c>
      <c r="B37" s="2">
        <v>45101</v>
      </c>
      <c r="C37" t="s">
        <v>101</v>
      </c>
      <c r="D37" t="s">
        <v>21</v>
      </c>
      <c r="E37" t="s">
        <v>15</v>
      </c>
      <c r="F37" t="s">
        <v>65</v>
      </c>
      <c r="G37" t="s">
        <v>24</v>
      </c>
      <c r="H37">
        <v>1</v>
      </c>
      <c r="I37">
        <v>800</v>
      </c>
      <c r="J37">
        <v>1</v>
      </c>
      <c r="K37">
        <v>1</v>
      </c>
      <c r="L37" t="s">
        <v>28</v>
      </c>
    </row>
    <row r="38" spans="1:12">
      <c r="A38" t="s">
        <v>102</v>
      </c>
      <c r="B38" s="2">
        <v>44977</v>
      </c>
      <c r="C38" t="s">
        <v>103</v>
      </c>
      <c r="D38" t="s">
        <v>52</v>
      </c>
      <c r="E38" t="s">
        <v>22</v>
      </c>
      <c r="F38" t="s">
        <v>65</v>
      </c>
      <c r="G38" t="s">
        <v>24</v>
      </c>
      <c r="H38">
        <v>1</v>
      </c>
      <c r="I38">
        <v>1200</v>
      </c>
      <c r="J38">
        <v>3</v>
      </c>
      <c r="K38">
        <v>1</v>
      </c>
      <c r="L38" t="s">
        <v>49</v>
      </c>
    </row>
    <row r="39" spans="1:12">
      <c r="A39" t="s">
        <v>104</v>
      </c>
      <c r="B39" s="2">
        <v>45290</v>
      </c>
      <c r="C39" t="s">
        <v>105</v>
      </c>
      <c r="D39" t="s">
        <v>52</v>
      </c>
      <c r="E39" t="s">
        <v>15</v>
      </c>
      <c r="F39" t="s">
        <v>32</v>
      </c>
      <c r="G39" t="s">
        <v>24</v>
      </c>
      <c r="H39">
        <v>4</v>
      </c>
      <c r="I39">
        <v>500</v>
      </c>
      <c r="J39">
        <v>1</v>
      </c>
      <c r="K39">
        <v>7</v>
      </c>
      <c r="L39" t="s">
        <v>28</v>
      </c>
    </row>
    <row r="40" spans="1:12">
      <c r="A40" t="s">
        <v>106</v>
      </c>
      <c r="B40" s="2">
        <v>44981</v>
      </c>
      <c r="C40" t="s">
        <v>107</v>
      </c>
      <c r="D40" t="s">
        <v>21</v>
      </c>
      <c r="E40" t="s">
        <v>31</v>
      </c>
      <c r="F40" t="s">
        <v>16</v>
      </c>
      <c r="G40" t="s">
        <v>24</v>
      </c>
      <c r="H40">
        <v>2</v>
      </c>
      <c r="I40">
        <v>800</v>
      </c>
      <c r="J40">
        <v>4</v>
      </c>
      <c r="K40">
        <v>3</v>
      </c>
      <c r="L40" t="s">
        <v>28</v>
      </c>
    </row>
    <row r="41" spans="1:12">
      <c r="A41" t="s">
        <v>108</v>
      </c>
      <c r="B41" s="2">
        <v>45170</v>
      </c>
      <c r="C41" t="s">
        <v>109</v>
      </c>
      <c r="D41" t="s">
        <v>21</v>
      </c>
      <c r="E41" t="s">
        <v>27</v>
      </c>
      <c r="F41" t="s">
        <v>44</v>
      </c>
      <c r="G41" t="s">
        <v>24</v>
      </c>
      <c r="H41">
        <v>1</v>
      </c>
      <c r="I41">
        <v>300</v>
      </c>
      <c r="J41">
        <v>5</v>
      </c>
      <c r="K41">
        <v>2</v>
      </c>
      <c r="L41" t="s">
        <v>33</v>
      </c>
    </row>
    <row r="42" spans="1:12">
      <c r="A42" t="s">
        <v>110</v>
      </c>
      <c r="B42" s="2">
        <v>45246</v>
      </c>
      <c r="C42" t="s">
        <v>111</v>
      </c>
      <c r="D42" t="s">
        <v>21</v>
      </c>
      <c r="E42" t="s">
        <v>31</v>
      </c>
      <c r="F42" t="s">
        <v>23</v>
      </c>
      <c r="G42" t="s">
        <v>24</v>
      </c>
      <c r="H42">
        <v>3</v>
      </c>
      <c r="I42">
        <v>300</v>
      </c>
      <c r="J42">
        <v>5</v>
      </c>
      <c r="K42">
        <v>9</v>
      </c>
      <c r="L42" t="s">
        <v>49</v>
      </c>
    </row>
    <row r="43" spans="1:12">
      <c r="A43" t="s">
        <v>112</v>
      </c>
      <c r="B43" s="2">
        <v>45057</v>
      </c>
      <c r="C43" t="s">
        <v>113</v>
      </c>
      <c r="D43" t="s">
        <v>14</v>
      </c>
      <c r="E43" t="s">
        <v>15</v>
      </c>
      <c r="F43" t="s">
        <v>23</v>
      </c>
      <c r="G43" t="s">
        <v>24</v>
      </c>
      <c r="H43">
        <v>3</v>
      </c>
      <c r="I43">
        <v>500</v>
      </c>
      <c r="J43">
        <v>5</v>
      </c>
      <c r="K43">
        <v>3</v>
      </c>
      <c r="L43" t="s">
        <v>18</v>
      </c>
    </row>
    <row r="44" spans="1:12">
      <c r="A44" t="s">
        <v>114</v>
      </c>
      <c r="B44" s="2">
        <v>45233</v>
      </c>
      <c r="C44" t="s">
        <v>115</v>
      </c>
      <c r="D44" t="s">
        <v>52</v>
      </c>
      <c r="E44" t="s">
        <v>22</v>
      </c>
      <c r="F44" t="s">
        <v>65</v>
      </c>
      <c r="G44" t="s">
        <v>24</v>
      </c>
      <c r="H44">
        <v>2</v>
      </c>
      <c r="I44">
        <v>150</v>
      </c>
      <c r="J44">
        <v>2</v>
      </c>
      <c r="K44">
        <v>2</v>
      </c>
      <c r="L44" t="s">
        <v>49</v>
      </c>
    </row>
    <row r="45" spans="1:12">
      <c r="A45" t="s">
        <v>116</v>
      </c>
      <c r="B45" s="2">
        <v>45061</v>
      </c>
      <c r="C45" t="s">
        <v>117</v>
      </c>
      <c r="D45" t="s">
        <v>52</v>
      </c>
      <c r="E45" t="s">
        <v>27</v>
      </c>
      <c r="F45" t="s">
        <v>32</v>
      </c>
      <c r="G45" t="s">
        <v>24</v>
      </c>
      <c r="H45">
        <v>3</v>
      </c>
      <c r="I45">
        <v>150</v>
      </c>
      <c r="J45">
        <v>1</v>
      </c>
      <c r="K45">
        <v>8</v>
      </c>
      <c r="L45" t="s">
        <v>28</v>
      </c>
    </row>
    <row r="46" spans="1:12">
      <c r="A46" t="s">
        <v>118</v>
      </c>
      <c r="B46" s="2">
        <v>44947</v>
      </c>
      <c r="C46" t="s">
        <v>119</v>
      </c>
      <c r="D46" t="s">
        <v>14</v>
      </c>
      <c r="E46" t="s">
        <v>15</v>
      </c>
      <c r="F46" t="s">
        <v>32</v>
      </c>
      <c r="G46" t="s">
        <v>17</v>
      </c>
      <c r="H46">
        <v>3</v>
      </c>
      <c r="I46">
        <v>150</v>
      </c>
      <c r="J46">
        <v>4</v>
      </c>
      <c r="K46">
        <v>6</v>
      </c>
      <c r="L46" t="s">
        <v>28</v>
      </c>
    </row>
    <row r="47" spans="1:12">
      <c r="A47" t="s">
        <v>120</v>
      </c>
      <c r="B47" s="2">
        <v>45255</v>
      </c>
      <c r="C47" t="s">
        <v>121</v>
      </c>
      <c r="D47" t="s">
        <v>21</v>
      </c>
      <c r="E47" t="s">
        <v>15</v>
      </c>
      <c r="F47" t="s">
        <v>23</v>
      </c>
      <c r="G47" t="s">
        <v>17</v>
      </c>
      <c r="H47">
        <v>2</v>
      </c>
      <c r="I47">
        <v>300</v>
      </c>
      <c r="J47">
        <v>2</v>
      </c>
      <c r="K47">
        <v>6</v>
      </c>
      <c r="L47" t="s">
        <v>28</v>
      </c>
    </row>
    <row r="48" spans="1:12">
      <c r="A48" t="s">
        <v>122</v>
      </c>
      <c r="B48" s="2">
        <v>45093</v>
      </c>
      <c r="C48" t="s">
        <v>123</v>
      </c>
      <c r="D48" t="s">
        <v>14</v>
      </c>
      <c r="E48" t="s">
        <v>22</v>
      </c>
      <c r="F48" t="s">
        <v>44</v>
      </c>
      <c r="G48" t="s">
        <v>17</v>
      </c>
      <c r="H48">
        <v>4</v>
      </c>
      <c r="I48">
        <v>150</v>
      </c>
      <c r="J48">
        <v>3</v>
      </c>
      <c r="K48">
        <v>7</v>
      </c>
      <c r="L48" t="s">
        <v>49</v>
      </c>
    </row>
    <row r="49" spans="1:12">
      <c r="A49" t="s">
        <v>124</v>
      </c>
      <c r="B49" s="2">
        <v>45200</v>
      </c>
      <c r="C49" t="s">
        <v>125</v>
      </c>
      <c r="D49" t="s">
        <v>14</v>
      </c>
      <c r="E49" t="s">
        <v>22</v>
      </c>
      <c r="F49" t="s">
        <v>16</v>
      </c>
      <c r="G49" t="s">
        <v>24</v>
      </c>
      <c r="H49">
        <v>4</v>
      </c>
      <c r="I49">
        <v>1200</v>
      </c>
      <c r="J49">
        <v>4</v>
      </c>
      <c r="K49">
        <v>7</v>
      </c>
      <c r="L49" t="s">
        <v>33</v>
      </c>
    </row>
    <row r="50" spans="1:12">
      <c r="A50" t="s">
        <v>126</v>
      </c>
      <c r="B50" s="2">
        <v>45015</v>
      </c>
      <c r="C50" t="s">
        <v>127</v>
      </c>
      <c r="D50" t="s">
        <v>14</v>
      </c>
      <c r="E50" t="s">
        <v>31</v>
      </c>
      <c r="F50" t="s">
        <v>44</v>
      </c>
      <c r="G50" t="s">
        <v>17</v>
      </c>
      <c r="H50">
        <v>3</v>
      </c>
      <c r="I50">
        <v>800</v>
      </c>
      <c r="J50">
        <v>4</v>
      </c>
      <c r="K50">
        <v>6</v>
      </c>
      <c r="L50" t="s">
        <v>28</v>
      </c>
    </row>
    <row r="51" spans="1:12">
      <c r="A51" t="s">
        <v>128</v>
      </c>
      <c r="B51" s="2">
        <v>45242</v>
      </c>
      <c r="C51" t="s">
        <v>129</v>
      </c>
      <c r="D51" t="s">
        <v>52</v>
      </c>
      <c r="E51" t="s">
        <v>27</v>
      </c>
      <c r="F51" t="s">
        <v>16</v>
      </c>
      <c r="G51" t="s">
        <v>24</v>
      </c>
      <c r="H51">
        <v>4</v>
      </c>
      <c r="I51">
        <v>300</v>
      </c>
      <c r="J51">
        <v>4</v>
      </c>
      <c r="K51">
        <v>4</v>
      </c>
      <c r="L51" t="s">
        <v>28</v>
      </c>
    </row>
    <row r="52" spans="1:12">
      <c r="A52" t="s">
        <v>130</v>
      </c>
      <c r="B52" s="2">
        <v>44940</v>
      </c>
      <c r="C52" t="s">
        <v>131</v>
      </c>
      <c r="D52" t="s">
        <v>14</v>
      </c>
      <c r="E52" t="s">
        <v>27</v>
      </c>
      <c r="F52" t="s">
        <v>23</v>
      </c>
      <c r="G52" t="s">
        <v>24</v>
      </c>
      <c r="H52">
        <v>4</v>
      </c>
      <c r="I52">
        <v>500</v>
      </c>
      <c r="J52">
        <v>5</v>
      </c>
      <c r="K52">
        <v>9</v>
      </c>
      <c r="L52" t="s">
        <v>49</v>
      </c>
    </row>
    <row r="53" spans="1:12">
      <c r="A53" t="s">
        <v>132</v>
      </c>
      <c r="B53" s="2">
        <v>45168</v>
      </c>
      <c r="C53" t="s">
        <v>133</v>
      </c>
      <c r="D53" t="s">
        <v>52</v>
      </c>
      <c r="E53" t="s">
        <v>22</v>
      </c>
      <c r="F53" t="s">
        <v>16</v>
      </c>
      <c r="G53" t="s">
        <v>17</v>
      </c>
      <c r="H53">
        <v>3</v>
      </c>
      <c r="I53">
        <v>500</v>
      </c>
      <c r="J53">
        <v>4</v>
      </c>
      <c r="K53">
        <v>6</v>
      </c>
      <c r="L53" t="s">
        <v>18</v>
      </c>
    </row>
    <row r="54" spans="1:12">
      <c r="A54" t="s">
        <v>134</v>
      </c>
      <c r="B54" s="2">
        <v>45191</v>
      </c>
      <c r="C54" t="s">
        <v>135</v>
      </c>
      <c r="D54" t="s">
        <v>52</v>
      </c>
      <c r="E54" t="s">
        <v>31</v>
      </c>
      <c r="F54" t="s">
        <v>32</v>
      </c>
      <c r="G54" t="s">
        <v>24</v>
      </c>
      <c r="H54">
        <v>4</v>
      </c>
      <c r="I54">
        <v>800</v>
      </c>
      <c r="J54">
        <v>1</v>
      </c>
      <c r="K54">
        <v>4</v>
      </c>
      <c r="L54" t="s">
        <v>18</v>
      </c>
    </row>
    <row r="55" spans="1:12">
      <c r="A55" t="s">
        <v>136</v>
      </c>
      <c r="B55" s="2">
        <v>45272</v>
      </c>
      <c r="C55" t="s">
        <v>137</v>
      </c>
      <c r="D55" t="s">
        <v>52</v>
      </c>
      <c r="E55" t="s">
        <v>27</v>
      </c>
      <c r="F55" t="s">
        <v>65</v>
      </c>
      <c r="G55" t="s">
        <v>17</v>
      </c>
      <c r="H55">
        <v>3</v>
      </c>
      <c r="I55">
        <v>300</v>
      </c>
      <c r="J55">
        <v>4</v>
      </c>
      <c r="K55">
        <v>3</v>
      </c>
      <c r="L55" t="s">
        <v>33</v>
      </c>
    </row>
    <row r="56" spans="1:12">
      <c r="A56" t="s">
        <v>138</v>
      </c>
      <c r="B56" s="2">
        <v>44979</v>
      </c>
      <c r="C56" t="s">
        <v>139</v>
      </c>
      <c r="D56" t="s">
        <v>21</v>
      </c>
      <c r="E56" t="s">
        <v>22</v>
      </c>
      <c r="F56" t="s">
        <v>65</v>
      </c>
      <c r="G56" t="s">
        <v>17</v>
      </c>
      <c r="H56">
        <v>1</v>
      </c>
      <c r="I56">
        <v>150</v>
      </c>
      <c r="J56">
        <v>5</v>
      </c>
      <c r="K56">
        <v>4</v>
      </c>
      <c r="L56" t="s">
        <v>33</v>
      </c>
    </row>
    <row r="57" spans="1:12">
      <c r="A57" t="s">
        <v>140</v>
      </c>
      <c r="B57" s="2">
        <v>45266</v>
      </c>
      <c r="C57" t="s">
        <v>141</v>
      </c>
      <c r="D57" t="s">
        <v>52</v>
      </c>
      <c r="E57" t="s">
        <v>15</v>
      </c>
      <c r="F57" t="s">
        <v>23</v>
      </c>
      <c r="G57" t="s">
        <v>17</v>
      </c>
      <c r="H57">
        <v>2</v>
      </c>
      <c r="I57">
        <v>150</v>
      </c>
      <c r="J57">
        <v>4</v>
      </c>
      <c r="K57">
        <v>3</v>
      </c>
      <c r="L57" t="s">
        <v>28</v>
      </c>
    </row>
    <row r="58" spans="1:12">
      <c r="A58" t="s">
        <v>142</v>
      </c>
      <c r="B58" s="2">
        <v>45018</v>
      </c>
      <c r="C58" t="s">
        <v>143</v>
      </c>
      <c r="D58" t="s">
        <v>52</v>
      </c>
      <c r="E58" t="s">
        <v>27</v>
      </c>
      <c r="F58" t="s">
        <v>32</v>
      </c>
      <c r="G58" t="s">
        <v>24</v>
      </c>
      <c r="H58">
        <v>2</v>
      </c>
      <c r="I58">
        <v>1200</v>
      </c>
      <c r="J58">
        <v>3</v>
      </c>
      <c r="K58">
        <v>2</v>
      </c>
      <c r="L58" t="s">
        <v>49</v>
      </c>
    </row>
    <row r="59" spans="1:12">
      <c r="A59" t="s">
        <v>144</v>
      </c>
      <c r="B59" s="2">
        <v>45190</v>
      </c>
      <c r="C59" t="s">
        <v>101</v>
      </c>
      <c r="D59" t="s">
        <v>21</v>
      </c>
      <c r="E59" t="s">
        <v>31</v>
      </c>
      <c r="F59" t="s">
        <v>44</v>
      </c>
      <c r="G59" t="s">
        <v>17</v>
      </c>
      <c r="H59">
        <v>4</v>
      </c>
      <c r="I59">
        <v>1200</v>
      </c>
      <c r="J59">
        <v>3</v>
      </c>
      <c r="K59">
        <v>5</v>
      </c>
      <c r="L59" t="s">
        <v>28</v>
      </c>
    </row>
    <row r="60" spans="1:12">
      <c r="A60" t="s">
        <v>145</v>
      </c>
      <c r="B60" s="2">
        <v>44961</v>
      </c>
      <c r="C60" t="s">
        <v>146</v>
      </c>
      <c r="D60" t="s">
        <v>52</v>
      </c>
      <c r="E60" t="s">
        <v>31</v>
      </c>
      <c r="F60" t="s">
        <v>32</v>
      </c>
      <c r="G60" t="s">
        <v>24</v>
      </c>
      <c r="H60">
        <v>4</v>
      </c>
      <c r="I60">
        <v>150</v>
      </c>
      <c r="J60">
        <v>5</v>
      </c>
      <c r="K60">
        <v>2</v>
      </c>
      <c r="L60" t="s">
        <v>33</v>
      </c>
    </row>
    <row r="61" spans="1:12">
      <c r="A61" t="s">
        <v>147</v>
      </c>
      <c r="B61" s="2">
        <v>45132</v>
      </c>
      <c r="C61" t="s">
        <v>148</v>
      </c>
      <c r="D61" t="s">
        <v>14</v>
      </c>
      <c r="E61" t="s">
        <v>31</v>
      </c>
      <c r="F61" t="s">
        <v>65</v>
      </c>
      <c r="G61" t="s">
        <v>17</v>
      </c>
      <c r="H61">
        <v>4</v>
      </c>
      <c r="I61">
        <v>500</v>
      </c>
      <c r="J61">
        <v>1</v>
      </c>
      <c r="K61">
        <v>6</v>
      </c>
      <c r="L61" t="s">
        <v>49</v>
      </c>
    </row>
    <row r="62" spans="1:12">
      <c r="A62" t="s">
        <v>149</v>
      </c>
      <c r="B62" s="2">
        <v>45007</v>
      </c>
      <c r="C62" t="s">
        <v>150</v>
      </c>
      <c r="D62" t="s">
        <v>14</v>
      </c>
      <c r="E62" t="s">
        <v>15</v>
      </c>
      <c r="F62" t="s">
        <v>65</v>
      </c>
      <c r="G62" t="s">
        <v>17</v>
      </c>
      <c r="H62">
        <v>2</v>
      </c>
      <c r="I62">
        <v>500</v>
      </c>
      <c r="J62">
        <v>1</v>
      </c>
      <c r="K62">
        <v>3</v>
      </c>
      <c r="L62" t="s">
        <v>49</v>
      </c>
    </row>
    <row r="63" spans="1:12">
      <c r="A63" t="s">
        <v>151</v>
      </c>
      <c r="B63" s="2">
        <v>44976</v>
      </c>
      <c r="C63" t="s">
        <v>152</v>
      </c>
      <c r="D63" t="s">
        <v>52</v>
      </c>
      <c r="E63" t="s">
        <v>27</v>
      </c>
      <c r="F63" t="s">
        <v>32</v>
      </c>
      <c r="G63" t="s">
        <v>17</v>
      </c>
      <c r="H63">
        <v>1</v>
      </c>
      <c r="I63">
        <v>1200</v>
      </c>
      <c r="J63">
        <v>2</v>
      </c>
      <c r="K63">
        <v>6</v>
      </c>
      <c r="L63" t="s">
        <v>33</v>
      </c>
    </row>
    <row r="64" spans="1:12">
      <c r="A64" t="s">
        <v>153</v>
      </c>
      <c r="B64" s="2">
        <v>45286</v>
      </c>
      <c r="C64" t="s">
        <v>154</v>
      </c>
      <c r="D64" t="s">
        <v>21</v>
      </c>
      <c r="E64" t="s">
        <v>27</v>
      </c>
      <c r="F64" t="s">
        <v>32</v>
      </c>
      <c r="G64" t="s">
        <v>24</v>
      </c>
      <c r="H64">
        <v>1</v>
      </c>
      <c r="I64">
        <v>800</v>
      </c>
      <c r="J64">
        <v>5</v>
      </c>
      <c r="K64">
        <v>9</v>
      </c>
      <c r="L64" t="s">
        <v>18</v>
      </c>
    </row>
    <row r="65" spans="1:12">
      <c r="A65" t="s">
        <v>155</v>
      </c>
      <c r="B65" s="2">
        <v>44928</v>
      </c>
      <c r="C65" t="s">
        <v>156</v>
      </c>
      <c r="D65" t="s">
        <v>14</v>
      </c>
      <c r="E65" t="s">
        <v>15</v>
      </c>
      <c r="F65" t="s">
        <v>65</v>
      </c>
      <c r="G65" t="s">
        <v>24</v>
      </c>
      <c r="H65">
        <v>2</v>
      </c>
      <c r="I65">
        <v>150</v>
      </c>
      <c r="J65">
        <v>4</v>
      </c>
      <c r="K65">
        <v>1</v>
      </c>
      <c r="L65" t="s">
        <v>18</v>
      </c>
    </row>
    <row r="66" spans="1:12">
      <c r="A66" t="s">
        <v>157</v>
      </c>
      <c r="B66" s="2">
        <v>44980</v>
      </c>
      <c r="C66" t="s">
        <v>158</v>
      </c>
      <c r="D66" t="s">
        <v>21</v>
      </c>
      <c r="E66" t="s">
        <v>27</v>
      </c>
      <c r="F66" t="s">
        <v>44</v>
      </c>
      <c r="G66" t="s">
        <v>24</v>
      </c>
      <c r="H66">
        <v>1</v>
      </c>
      <c r="I66">
        <v>1200</v>
      </c>
      <c r="J66">
        <v>5</v>
      </c>
      <c r="K66">
        <v>6</v>
      </c>
      <c r="L66" t="s">
        <v>49</v>
      </c>
    </row>
    <row r="67" spans="1:12">
      <c r="A67" t="s">
        <v>159</v>
      </c>
      <c r="B67" s="2">
        <v>45032</v>
      </c>
      <c r="C67" t="s">
        <v>160</v>
      </c>
      <c r="D67" t="s">
        <v>21</v>
      </c>
      <c r="E67" t="s">
        <v>15</v>
      </c>
      <c r="F67" t="s">
        <v>23</v>
      </c>
      <c r="G67" t="s">
        <v>17</v>
      </c>
      <c r="H67">
        <v>2</v>
      </c>
      <c r="I67">
        <v>1200</v>
      </c>
      <c r="J67">
        <v>2</v>
      </c>
      <c r="K67">
        <v>9</v>
      </c>
      <c r="L67" t="s">
        <v>28</v>
      </c>
    </row>
    <row r="68" spans="1:12">
      <c r="A68" t="s">
        <v>161</v>
      </c>
      <c r="B68" s="2">
        <v>45186</v>
      </c>
      <c r="C68" t="s">
        <v>162</v>
      </c>
      <c r="D68" t="s">
        <v>14</v>
      </c>
      <c r="E68" t="s">
        <v>15</v>
      </c>
      <c r="F68" t="s">
        <v>23</v>
      </c>
      <c r="G68" t="s">
        <v>17</v>
      </c>
      <c r="H68">
        <v>1</v>
      </c>
      <c r="I68">
        <v>150</v>
      </c>
      <c r="J68">
        <v>5</v>
      </c>
      <c r="K68">
        <v>4</v>
      </c>
      <c r="L68" t="s">
        <v>18</v>
      </c>
    </row>
    <row r="69" spans="1:12">
      <c r="A69" t="s">
        <v>163</v>
      </c>
      <c r="B69" s="2">
        <v>45236</v>
      </c>
      <c r="C69" t="s">
        <v>164</v>
      </c>
      <c r="D69" t="s">
        <v>21</v>
      </c>
      <c r="E69" t="s">
        <v>15</v>
      </c>
      <c r="F69" t="s">
        <v>32</v>
      </c>
      <c r="G69" t="s">
        <v>24</v>
      </c>
      <c r="H69">
        <v>3</v>
      </c>
      <c r="I69">
        <v>150</v>
      </c>
      <c r="J69">
        <v>5</v>
      </c>
      <c r="K69">
        <v>2</v>
      </c>
      <c r="L69" t="s">
        <v>28</v>
      </c>
    </row>
    <row r="70" spans="1:12">
      <c r="A70" t="s">
        <v>165</v>
      </c>
      <c r="B70" s="2">
        <v>45117</v>
      </c>
      <c r="C70" t="s">
        <v>166</v>
      </c>
      <c r="D70" t="s">
        <v>14</v>
      </c>
      <c r="E70" t="s">
        <v>31</v>
      </c>
      <c r="F70" t="s">
        <v>23</v>
      </c>
      <c r="G70" t="s">
        <v>24</v>
      </c>
      <c r="H70">
        <v>3</v>
      </c>
      <c r="I70">
        <v>500</v>
      </c>
      <c r="J70">
        <v>2</v>
      </c>
      <c r="K70">
        <v>4</v>
      </c>
      <c r="L70" t="s">
        <v>18</v>
      </c>
    </row>
    <row r="71" spans="1:12">
      <c r="A71" t="s">
        <v>167</v>
      </c>
      <c r="B71" s="2">
        <v>45144</v>
      </c>
      <c r="C71" t="s">
        <v>168</v>
      </c>
      <c r="D71" t="s">
        <v>21</v>
      </c>
      <c r="E71" t="s">
        <v>27</v>
      </c>
      <c r="F71" t="s">
        <v>65</v>
      </c>
      <c r="G71" t="s">
        <v>24</v>
      </c>
      <c r="H71">
        <v>2</v>
      </c>
      <c r="I71">
        <v>800</v>
      </c>
      <c r="J71">
        <v>1</v>
      </c>
      <c r="K71">
        <v>1</v>
      </c>
      <c r="L71" t="s">
        <v>18</v>
      </c>
    </row>
    <row r="72" spans="1:12">
      <c r="A72" t="s">
        <v>169</v>
      </c>
      <c r="B72" s="2">
        <v>44970</v>
      </c>
      <c r="C72" t="s">
        <v>170</v>
      </c>
      <c r="D72" t="s">
        <v>14</v>
      </c>
      <c r="E72" t="s">
        <v>15</v>
      </c>
      <c r="F72" t="s">
        <v>65</v>
      </c>
      <c r="G72" t="s">
        <v>24</v>
      </c>
      <c r="H72">
        <v>1</v>
      </c>
      <c r="I72">
        <v>800</v>
      </c>
      <c r="J72">
        <v>4</v>
      </c>
      <c r="K72">
        <v>3</v>
      </c>
      <c r="L72" t="s">
        <v>28</v>
      </c>
    </row>
    <row r="73" spans="1:12">
      <c r="A73" t="s">
        <v>171</v>
      </c>
      <c r="B73" s="2">
        <v>45088</v>
      </c>
      <c r="C73" t="s">
        <v>172</v>
      </c>
      <c r="D73" t="s">
        <v>52</v>
      </c>
      <c r="E73" t="s">
        <v>27</v>
      </c>
      <c r="F73" t="s">
        <v>32</v>
      </c>
      <c r="G73" t="s">
        <v>24</v>
      </c>
      <c r="H73">
        <v>4</v>
      </c>
      <c r="I73">
        <v>150</v>
      </c>
      <c r="J73">
        <v>2</v>
      </c>
      <c r="K73">
        <v>9</v>
      </c>
      <c r="L73" t="s">
        <v>33</v>
      </c>
    </row>
    <row r="74" spans="1:12">
      <c r="A74" t="s">
        <v>173</v>
      </c>
      <c r="B74" s="2">
        <v>45128</v>
      </c>
      <c r="C74" t="s">
        <v>174</v>
      </c>
      <c r="D74" t="s">
        <v>14</v>
      </c>
      <c r="E74" t="s">
        <v>31</v>
      </c>
      <c r="F74" t="s">
        <v>32</v>
      </c>
      <c r="G74" t="s">
        <v>24</v>
      </c>
      <c r="H74">
        <v>1</v>
      </c>
      <c r="I74">
        <v>300</v>
      </c>
      <c r="J74">
        <v>3</v>
      </c>
      <c r="K74">
        <v>5</v>
      </c>
      <c r="L74" t="s">
        <v>18</v>
      </c>
    </row>
    <row r="75" spans="1:12">
      <c r="A75" t="s">
        <v>175</v>
      </c>
      <c r="B75" s="2">
        <v>45196</v>
      </c>
      <c r="C75" t="s">
        <v>176</v>
      </c>
      <c r="D75" t="s">
        <v>14</v>
      </c>
      <c r="E75" t="s">
        <v>15</v>
      </c>
      <c r="F75" t="s">
        <v>32</v>
      </c>
      <c r="G75" t="s">
        <v>17</v>
      </c>
      <c r="H75">
        <v>3</v>
      </c>
      <c r="I75">
        <v>1200</v>
      </c>
      <c r="J75">
        <v>1</v>
      </c>
      <c r="K75">
        <v>6</v>
      </c>
      <c r="L75" t="s">
        <v>18</v>
      </c>
    </row>
    <row r="76" spans="1:12">
      <c r="A76" t="s">
        <v>177</v>
      </c>
      <c r="B76" s="2">
        <v>45277</v>
      </c>
      <c r="C76" t="s">
        <v>178</v>
      </c>
      <c r="D76" t="s">
        <v>14</v>
      </c>
      <c r="E76" t="s">
        <v>22</v>
      </c>
      <c r="F76" t="s">
        <v>44</v>
      </c>
      <c r="G76" t="s">
        <v>24</v>
      </c>
      <c r="H76">
        <v>3</v>
      </c>
      <c r="I76">
        <v>1200</v>
      </c>
      <c r="J76">
        <v>3</v>
      </c>
      <c r="K76">
        <v>3</v>
      </c>
      <c r="L76" t="s">
        <v>28</v>
      </c>
    </row>
    <row r="77" spans="1:12">
      <c r="A77" t="s">
        <v>179</v>
      </c>
      <c r="B77" s="2">
        <v>45230</v>
      </c>
      <c r="C77" t="s">
        <v>180</v>
      </c>
      <c r="D77" t="s">
        <v>14</v>
      </c>
      <c r="E77" t="s">
        <v>31</v>
      </c>
      <c r="F77" t="s">
        <v>23</v>
      </c>
      <c r="G77" t="s">
        <v>17</v>
      </c>
      <c r="H77">
        <v>1</v>
      </c>
      <c r="I77">
        <v>150</v>
      </c>
      <c r="J77">
        <v>1</v>
      </c>
      <c r="K77">
        <v>5</v>
      </c>
      <c r="L77" t="s">
        <v>33</v>
      </c>
    </row>
    <row r="78" spans="1:12">
      <c r="A78" t="s">
        <v>181</v>
      </c>
      <c r="B78" s="2">
        <v>45197</v>
      </c>
      <c r="C78" t="s">
        <v>182</v>
      </c>
      <c r="D78" t="s">
        <v>21</v>
      </c>
      <c r="E78" t="s">
        <v>22</v>
      </c>
      <c r="F78" t="s">
        <v>32</v>
      </c>
      <c r="G78" t="s">
        <v>17</v>
      </c>
      <c r="H78">
        <v>1</v>
      </c>
      <c r="I78">
        <v>300</v>
      </c>
      <c r="J78">
        <v>4</v>
      </c>
      <c r="K78">
        <v>8</v>
      </c>
      <c r="L78" t="s">
        <v>18</v>
      </c>
    </row>
    <row r="79" spans="1:12">
      <c r="A79" t="s">
        <v>183</v>
      </c>
      <c r="B79" s="2">
        <v>45141</v>
      </c>
      <c r="C79" t="s">
        <v>184</v>
      </c>
      <c r="D79" t="s">
        <v>52</v>
      </c>
      <c r="E79" t="s">
        <v>27</v>
      </c>
      <c r="F79" t="s">
        <v>16</v>
      </c>
      <c r="G79" t="s">
        <v>24</v>
      </c>
      <c r="H79">
        <v>4</v>
      </c>
      <c r="I79">
        <v>500</v>
      </c>
      <c r="J79">
        <v>4</v>
      </c>
      <c r="K79">
        <v>6</v>
      </c>
      <c r="L79" t="s">
        <v>18</v>
      </c>
    </row>
    <row r="80" spans="1:12">
      <c r="A80" t="s">
        <v>185</v>
      </c>
      <c r="B80" s="2">
        <v>45178</v>
      </c>
      <c r="C80" t="s">
        <v>186</v>
      </c>
      <c r="D80" t="s">
        <v>14</v>
      </c>
      <c r="E80" t="s">
        <v>27</v>
      </c>
      <c r="F80" t="s">
        <v>16</v>
      </c>
      <c r="G80" t="s">
        <v>24</v>
      </c>
      <c r="H80">
        <v>4</v>
      </c>
      <c r="I80">
        <v>150</v>
      </c>
      <c r="J80">
        <v>5</v>
      </c>
      <c r="K80">
        <v>4</v>
      </c>
      <c r="L80" t="s">
        <v>33</v>
      </c>
    </row>
    <row r="81" spans="1:12">
      <c r="A81" t="s">
        <v>187</v>
      </c>
      <c r="B81" s="2">
        <v>45116</v>
      </c>
      <c r="C81" t="s">
        <v>188</v>
      </c>
      <c r="D81" t="s">
        <v>21</v>
      </c>
      <c r="E81" t="s">
        <v>31</v>
      </c>
      <c r="F81" t="s">
        <v>65</v>
      </c>
      <c r="G81" t="s">
        <v>17</v>
      </c>
      <c r="H81">
        <v>1</v>
      </c>
      <c r="I81">
        <v>150</v>
      </c>
      <c r="J81">
        <v>3</v>
      </c>
      <c r="K81">
        <v>2</v>
      </c>
      <c r="L81" t="s">
        <v>18</v>
      </c>
    </row>
    <row r="82" spans="1:12">
      <c r="A82" t="s">
        <v>189</v>
      </c>
      <c r="B82" s="2">
        <v>45222</v>
      </c>
      <c r="C82" t="s">
        <v>190</v>
      </c>
      <c r="D82" t="s">
        <v>52</v>
      </c>
      <c r="E82" t="s">
        <v>27</v>
      </c>
      <c r="F82" t="s">
        <v>23</v>
      </c>
      <c r="G82" t="s">
        <v>24</v>
      </c>
      <c r="H82">
        <v>1</v>
      </c>
      <c r="I82">
        <v>1200</v>
      </c>
      <c r="J82">
        <v>1</v>
      </c>
      <c r="K82">
        <v>9</v>
      </c>
      <c r="L82" t="s">
        <v>33</v>
      </c>
    </row>
    <row r="83" spans="1:12">
      <c r="A83" t="s">
        <v>191</v>
      </c>
      <c r="B83" s="2">
        <v>45139</v>
      </c>
      <c r="C83" t="s">
        <v>192</v>
      </c>
      <c r="D83" t="s">
        <v>52</v>
      </c>
      <c r="E83" t="s">
        <v>22</v>
      </c>
      <c r="F83" t="s">
        <v>32</v>
      </c>
      <c r="G83" t="s">
        <v>24</v>
      </c>
      <c r="H83">
        <v>1</v>
      </c>
      <c r="I83">
        <v>150</v>
      </c>
      <c r="J83">
        <v>4</v>
      </c>
      <c r="K83">
        <v>1</v>
      </c>
      <c r="L83" t="s">
        <v>33</v>
      </c>
    </row>
    <row r="84" spans="1:12">
      <c r="A84" t="s">
        <v>193</v>
      </c>
      <c r="B84" s="2">
        <v>45134</v>
      </c>
      <c r="C84" t="s">
        <v>194</v>
      </c>
      <c r="D84" t="s">
        <v>52</v>
      </c>
      <c r="E84" t="s">
        <v>15</v>
      </c>
      <c r="F84" t="s">
        <v>16</v>
      </c>
      <c r="G84" t="s">
        <v>17</v>
      </c>
      <c r="H84">
        <v>1</v>
      </c>
      <c r="I84">
        <v>150</v>
      </c>
      <c r="J84">
        <v>2</v>
      </c>
      <c r="K84">
        <v>1</v>
      </c>
      <c r="L84" t="s">
        <v>28</v>
      </c>
    </row>
    <row r="85" spans="1:12">
      <c r="A85" t="s">
        <v>195</v>
      </c>
      <c r="B85" s="2">
        <v>45163</v>
      </c>
      <c r="C85" t="s">
        <v>196</v>
      </c>
      <c r="D85" t="s">
        <v>52</v>
      </c>
      <c r="E85" t="s">
        <v>15</v>
      </c>
      <c r="F85" t="s">
        <v>23</v>
      </c>
      <c r="G85" t="s">
        <v>17</v>
      </c>
      <c r="H85">
        <v>2</v>
      </c>
      <c r="I85">
        <v>150</v>
      </c>
      <c r="J85">
        <v>4</v>
      </c>
      <c r="K85">
        <v>4</v>
      </c>
      <c r="L85" t="s">
        <v>49</v>
      </c>
    </row>
    <row r="86" spans="1:12">
      <c r="A86" t="s">
        <v>197</v>
      </c>
      <c r="B86" s="2">
        <v>45264</v>
      </c>
      <c r="C86" t="s">
        <v>198</v>
      </c>
      <c r="D86" t="s">
        <v>14</v>
      </c>
      <c r="E86" t="s">
        <v>15</v>
      </c>
      <c r="F86" t="s">
        <v>65</v>
      </c>
      <c r="G86" t="s">
        <v>17</v>
      </c>
      <c r="H86">
        <v>1</v>
      </c>
      <c r="I86">
        <v>1200</v>
      </c>
      <c r="J86">
        <v>2</v>
      </c>
      <c r="K86">
        <v>7</v>
      </c>
      <c r="L86" t="s">
        <v>33</v>
      </c>
    </row>
    <row r="87" spans="1:12">
      <c r="A87" t="s">
        <v>199</v>
      </c>
      <c r="B87" s="2">
        <v>44979</v>
      </c>
      <c r="C87" t="s">
        <v>200</v>
      </c>
      <c r="D87" t="s">
        <v>14</v>
      </c>
      <c r="E87" t="s">
        <v>31</v>
      </c>
      <c r="F87" t="s">
        <v>44</v>
      </c>
      <c r="G87" t="s">
        <v>24</v>
      </c>
      <c r="H87">
        <v>4</v>
      </c>
      <c r="I87">
        <v>500</v>
      </c>
      <c r="J87">
        <v>1</v>
      </c>
      <c r="K87">
        <v>1</v>
      </c>
      <c r="L87" t="s">
        <v>28</v>
      </c>
    </row>
    <row r="88" spans="1:12">
      <c r="A88" t="s">
        <v>201</v>
      </c>
      <c r="B88" s="2">
        <v>45206</v>
      </c>
      <c r="C88" t="s">
        <v>202</v>
      </c>
      <c r="D88" t="s">
        <v>21</v>
      </c>
      <c r="E88" t="s">
        <v>27</v>
      </c>
      <c r="F88" t="s">
        <v>23</v>
      </c>
      <c r="G88" t="s">
        <v>17</v>
      </c>
      <c r="H88">
        <v>3</v>
      </c>
      <c r="I88">
        <v>500</v>
      </c>
      <c r="J88">
        <v>4</v>
      </c>
      <c r="K88">
        <v>9</v>
      </c>
      <c r="L88" t="s">
        <v>49</v>
      </c>
    </row>
    <row r="89" spans="1:12">
      <c r="A89" t="s">
        <v>203</v>
      </c>
      <c r="B89" s="2">
        <v>45143</v>
      </c>
      <c r="C89" t="s">
        <v>204</v>
      </c>
      <c r="D89" t="s">
        <v>21</v>
      </c>
      <c r="E89" t="s">
        <v>22</v>
      </c>
      <c r="F89" t="s">
        <v>23</v>
      </c>
      <c r="G89" t="s">
        <v>24</v>
      </c>
      <c r="H89">
        <v>2</v>
      </c>
      <c r="I89">
        <v>150</v>
      </c>
      <c r="J89">
        <v>4</v>
      </c>
      <c r="K89">
        <v>4</v>
      </c>
      <c r="L89" t="s">
        <v>18</v>
      </c>
    </row>
    <row r="90" spans="1:12">
      <c r="A90" t="s">
        <v>205</v>
      </c>
      <c r="B90" s="2">
        <v>45178</v>
      </c>
      <c r="C90" t="s">
        <v>206</v>
      </c>
      <c r="D90" t="s">
        <v>21</v>
      </c>
      <c r="E90" t="s">
        <v>27</v>
      </c>
      <c r="F90" t="s">
        <v>44</v>
      </c>
      <c r="G90" t="s">
        <v>17</v>
      </c>
      <c r="H90">
        <v>1</v>
      </c>
      <c r="I90">
        <v>1200</v>
      </c>
      <c r="J90">
        <v>1</v>
      </c>
      <c r="K90">
        <v>3</v>
      </c>
      <c r="L90" t="s">
        <v>49</v>
      </c>
    </row>
    <row r="91" spans="1:12">
      <c r="A91" t="s">
        <v>207</v>
      </c>
      <c r="B91" s="2">
        <v>45114</v>
      </c>
      <c r="C91" t="s">
        <v>208</v>
      </c>
      <c r="D91" t="s">
        <v>52</v>
      </c>
      <c r="E91" t="s">
        <v>27</v>
      </c>
      <c r="F91" t="s">
        <v>23</v>
      </c>
      <c r="G91" t="s">
        <v>17</v>
      </c>
      <c r="H91">
        <v>3</v>
      </c>
      <c r="I91">
        <v>500</v>
      </c>
      <c r="J91">
        <v>4</v>
      </c>
      <c r="K91">
        <v>1</v>
      </c>
      <c r="L91" t="s">
        <v>33</v>
      </c>
    </row>
    <row r="92" spans="1:12">
      <c r="A92" t="s">
        <v>209</v>
      </c>
      <c r="B92" s="2">
        <v>44967</v>
      </c>
      <c r="C92" t="s">
        <v>210</v>
      </c>
      <c r="D92" t="s">
        <v>52</v>
      </c>
      <c r="E92" t="s">
        <v>27</v>
      </c>
      <c r="F92" t="s">
        <v>65</v>
      </c>
      <c r="G92" t="s">
        <v>17</v>
      </c>
      <c r="H92">
        <v>2</v>
      </c>
      <c r="I92">
        <v>500</v>
      </c>
      <c r="J92">
        <v>2</v>
      </c>
      <c r="K92">
        <v>4</v>
      </c>
      <c r="L92" t="s">
        <v>33</v>
      </c>
    </row>
    <row r="93" spans="1:12">
      <c r="A93" t="s">
        <v>211</v>
      </c>
      <c r="B93" s="2">
        <v>45083</v>
      </c>
      <c r="C93" t="s">
        <v>212</v>
      </c>
      <c r="D93" t="s">
        <v>14</v>
      </c>
      <c r="E93" t="s">
        <v>15</v>
      </c>
      <c r="F93" t="s">
        <v>65</v>
      </c>
      <c r="G93" t="s">
        <v>24</v>
      </c>
      <c r="H93">
        <v>3</v>
      </c>
      <c r="I93">
        <v>500</v>
      </c>
      <c r="J93">
        <v>4</v>
      </c>
      <c r="K93">
        <v>9</v>
      </c>
      <c r="L93" t="s">
        <v>33</v>
      </c>
    </row>
    <row r="94" spans="1:12">
      <c r="A94" t="s">
        <v>213</v>
      </c>
      <c r="B94" s="2">
        <v>44941</v>
      </c>
      <c r="C94" t="s">
        <v>214</v>
      </c>
      <c r="D94" t="s">
        <v>52</v>
      </c>
      <c r="E94" t="s">
        <v>22</v>
      </c>
      <c r="F94" t="s">
        <v>44</v>
      </c>
      <c r="G94" t="s">
        <v>24</v>
      </c>
      <c r="H94">
        <v>1</v>
      </c>
      <c r="I94">
        <v>1200</v>
      </c>
      <c r="J94">
        <v>3</v>
      </c>
      <c r="K94">
        <v>6</v>
      </c>
      <c r="L94" t="s">
        <v>33</v>
      </c>
    </row>
    <row r="95" spans="1:12">
      <c r="A95" t="s">
        <v>215</v>
      </c>
      <c r="B95" s="2">
        <v>45227</v>
      </c>
      <c r="C95" t="s">
        <v>216</v>
      </c>
      <c r="D95" t="s">
        <v>52</v>
      </c>
      <c r="E95" t="s">
        <v>22</v>
      </c>
      <c r="F95" t="s">
        <v>32</v>
      </c>
      <c r="G95" t="s">
        <v>17</v>
      </c>
      <c r="H95">
        <v>1</v>
      </c>
      <c r="I95">
        <v>1200</v>
      </c>
      <c r="J95">
        <v>5</v>
      </c>
      <c r="K95">
        <v>6</v>
      </c>
      <c r="L95" t="s">
        <v>33</v>
      </c>
    </row>
    <row r="96" spans="1:12">
      <c r="A96" t="s">
        <v>217</v>
      </c>
      <c r="B96" s="2">
        <v>44991</v>
      </c>
      <c r="C96" t="s">
        <v>218</v>
      </c>
      <c r="D96" t="s">
        <v>52</v>
      </c>
      <c r="E96" t="s">
        <v>27</v>
      </c>
      <c r="F96" t="s">
        <v>16</v>
      </c>
      <c r="G96" t="s">
        <v>17</v>
      </c>
      <c r="H96">
        <v>4</v>
      </c>
      <c r="I96">
        <v>150</v>
      </c>
      <c r="J96">
        <v>2</v>
      </c>
      <c r="K96">
        <v>1</v>
      </c>
      <c r="L96" t="s">
        <v>28</v>
      </c>
    </row>
    <row r="97" spans="1:12">
      <c r="A97" t="s">
        <v>219</v>
      </c>
      <c r="B97" s="2">
        <v>45271</v>
      </c>
      <c r="C97" t="s">
        <v>220</v>
      </c>
      <c r="D97" t="s">
        <v>21</v>
      </c>
      <c r="E97" t="s">
        <v>15</v>
      </c>
      <c r="F97" t="s">
        <v>32</v>
      </c>
      <c r="G97" t="s">
        <v>17</v>
      </c>
      <c r="H97">
        <v>1</v>
      </c>
      <c r="I97">
        <v>800</v>
      </c>
      <c r="J97">
        <v>3</v>
      </c>
      <c r="K97">
        <v>2</v>
      </c>
      <c r="L97" t="s">
        <v>33</v>
      </c>
    </row>
    <row r="98" spans="1:12">
      <c r="A98" t="s">
        <v>221</v>
      </c>
      <c r="B98" s="2">
        <v>45253</v>
      </c>
      <c r="C98" t="s">
        <v>222</v>
      </c>
      <c r="D98" t="s">
        <v>21</v>
      </c>
      <c r="E98" t="s">
        <v>15</v>
      </c>
      <c r="F98" t="s">
        <v>23</v>
      </c>
      <c r="G98" t="s">
        <v>24</v>
      </c>
      <c r="H98">
        <v>1</v>
      </c>
      <c r="I98">
        <v>500</v>
      </c>
      <c r="J98">
        <v>1</v>
      </c>
      <c r="K98">
        <v>6</v>
      </c>
      <c r="L98" t="s">
        <v>28</v>
      </c>
    </row>
    <row r="99" spans="1:12">
      <c r="A99" t="s">
        <v>223</v>
      </c>
      <c r="B99" s="2">
        <v>44935</v>
      </c>
      <c r="C99" t="s">
        <v>224</v>
      </c>
      <c r="D99" t="s">
        <v>14</v>
      </c>
      <c r="E99" t="s">
        <v>22</v>
      </c>
      <c r="F99" t="s">
        <v>16</v>
      </c>
      <c r="G99" t="s">
        <v>17</v>
      </c>
      <c r="H99">
        <v>2</v>
      </c>
      <c r="I99">
        <v>800</v>
      </c>
      <c r="J99">
        <v>2</v>
      </c>
      <c r="K99">
        <v>2</v>
      </c>
      <c r="L99" t="s">
        <v>18</v>
      </c>
    </row>
    <row r="100" spans="1:12">
      <c r="A100" t="s">
        <v>225</v>
      </c>
      <c r="B100" s="2">
        <v>45270</v>
      </c>
      <c r="C100" t="s">
        <v>226</v>
      </c>
      <c r="D100" t="s">
        <v>52</v>
      </c>
      <c r="E100" t="s">
        <v>15</v>
      </c>
      <c r="F100" t="s">
        <v>44</v>
      </c>
      <c r="G100" t="s">
        <v>24</v>
      </c>
      <c r="H100">
        <v>4</v>
      </c>
      <c r="I100">
        <v>1200</v>
      </c>
      <c r="J100">
        <v>5</v>
      </c>
      <c r="K100">
        <v>3</v>
      </c>
      <c r="L100" t="s">
        <v>33</v>
      </c>
    </row>
    <row r="101" spans="1:12">
      <c r="A101" t="s">
        <v>227</v>
      </c>
      <c r="B101" s="2">
        <v>45055</v>
      </c>
      <c r="C101" t="s">
        <v>228</v>
      </c>
      <c r="D101" t="s">
        <v>52</v>
      </c>
      <c r="E101" t="s">
        <v>15</v>
      </c>
      <c r="F101" t="s">
        <v>44</v>
      </c>
      <c r="G101" t="s">
        <v>17</v>
      </c>
      <c r="H101">
        <v>2</v>
      </c>
      <c r="I101">
        <v>1200</v>
      </c>
      <c r="J101">
        <v>5</v>
      </c>
      <c r="K101">
        <v>4</v>
      </c>
      <c r="L101" t="s">
        <v>33</v>
      </c>
    </row>
    <row r="102" spans="1:12">
      <c r="A102" t="s">
        <v>229</v>
      </c>
      <c r="B102" s="2">
        <v>45062</v>
      </c>
      <c r="C102" t="s">
        <v>230</v>
      </c>
      <c r="D102" t="s">
        <v>14</v>
      </c>
      <c r="E102" t="s">
        <v>15</v>
      </c>
      <c r="F102" t="s">
        <v>16</v>
      </c>
      <c r="G102" t="s">
        <v>17</v>
      </c>
      <c r="H102">
        <v>3</v>
      </c>
      <c r="I102">
        <v>1200</v>
      </c>
      <c r="J102">
        <v>1</v>
      </c>
      <c r="K102">
        <v>5</v>
      </c>
      <c r="L102" t="s">
        <v>49</v>
      </c>
    </row>
    <row r="103" spans="1:12">
      <c r="A103" t="s">
        <v>231</v>
      </c>
      <c r="B103" s="2">
        <v>44989</v>
      </c>
      <c r="C103" t="s">
        <v>232</v>
      </c>
      <c r="D103" t="s">
        <v>52</v>
      </c>
      <c r="E103" t="s">
        <v>31</v>
      </c>
      <c r="F103" t="s">
        <v>65</v>
      </c>
      <c r="G103" t="s">
        <v>17</v>
      </c>
      <c r="H103">
        <v>1</v>
      </c>
      <c r="I103">
        <v>800</v>
      </c>
      <c r="J103">
        <v>1</v>
      </c>
      <c r="K103">
        <v>9</v>
      </c>
      <c r="L103" t="s">
        <v>18</v>
      </c>
    </row>
    <row r="104" spans="1:12">
      <c r="A104" t="s">
        <v>233</v>
      </c>
      <c r="B104" s="2">
        <v>45065</v>
      </c>
      <c r="C104" t="s">
        <v>234</v>
      </c>
      <c r="D104" t="s">
        <v>52</v>
      </c>
      <c r="E104" t="s">
        <v>27</v>
      </c>
      <c r="F104" t="s">
        <v>16</v>
      </c>
      <c r="G104" t="s">
        <v>17</v>
      </c>
      <c r="H104">
        <v>3</v>
      </c>
      <c r="I104">
        <v>1200</v>
      </c>
      <c r="J104">
        <v>2</v>
      </c>
      <c r="K104">
        <v>4</v>
      </c>
      <c r="L104" t="s">
        <v>33</v>
      </c>
    </row>
    <row r="105" spans="1:12">
      <c r="A105" t="s">
        <v>235</v>
      </c>
      <c r="B105" s="2">
        <v>45007</v>
      </c>
      <c r="C105" t="s">
        <v>236</v>
      </c>
      <c r="D105" t="s">
        <v>21</v>
      </c>
      <c r="E105" t="s">
        <v>22</v>
      </c>
      <c r="F105" t="s">
        <v>23</v>
      </c>
      <c r="G105" t="s">
        <v>17</v>
      </c>
      <c r="H105">
        <v>2</v>
      </c>
      <c r="I105">
        <v>150</v>
      </c>
      <c r="J105">
        <v>4</v>
      </c>
      <c r="K105">
        <v>9</v>
      </c>
      <c r="L105" t="s">
        <v>33</v>
      </c>
    </row>
    <row r="106" spans="1:12">
      <c r="A106" t="s">
        <v>237</v>
      </c>
      <c r="B106" s="2">
        <v>45089</v>
      </c>
      <c r="C106" t="s">
        <v>238</v>
      </c>
      <c r="D106" t="s">
        <v>14</v>
      </c>
      <c r="E106" t="s">
        <v>22</v>
      </c>
      <c r="F106" t="s">
        <v>65</v>
      </c>
      <c r="G106" t="s">
        <v>17</v>
      </c>
      <c r="H106">
        <v>1</v>
      </c>
      <c r="I106">
        <v>1200</v>
      </c>
      <c r="J106">
        <v>1</v>
      </c>
      <c r="K106">
        <v>3</v>
      </c>
      <c r="L106" t="s">
        <v>18</v>
      </c>
    </row>
    <row r="107" spans="1:12">
      <c r="A107" t="s">
        <v>239</v>
      </c>
      <c r="B107" s="2">
        <v>45215</v>
      </c>
      <c r="C107" t="s">
        <v>240</v>
      </c>
      <c r="D107" t="s">
        <v>14</v>
      </c>
      <c r="E107" t="s">
        <v>31</v>
      </c>
      <c r="F107" t="s">
        <v>44</v>
      </c>
      <c r="G107" t="s">
        <v>24</v>
      </c>
      <c r="H107">
        <v>1</v>
      </c>
      <c r="I107">
        <v>300</v>
      </c>
      <c r="J107">
        <v>4</v>
      </c>
      <c r="K107">
        <v>8</v>
      </c>
      <c r="L107" t="s">
        <v>28</v>
      </c>
    </row>
    <row r="108" spans="1:12">
      <c r="A108" t="s">
        <v>241</v>
      </c>
      <c r="B108" s="2">
        <v>45187</v>
      </c>
      <c r="C108" t="s">
        <v>242</v>
      </c>
      <c r="D108" t="s">
        <v>14</v>
      </c>
      <c r="E108" t="s">
        <v>27</v>
      </c>
      <c r="F108" t="s">
        <v>16</v>
      </c>
      <c r="G108" t="s">
        <v>17</v>
      </c>
      <c r="H108">
        <v>2</v>
      </c>
      <c r="I108">
        <v>800</v>
      </c>
      <c r="J108">
        <v>3</v>
      </c>
      <c r="K108">
        <v>1</v>
      </c>
      <c r="L108" t="s">
        <v>33</v>
      </c>
    </row>
    <row r="109" spans="1:12">
      <c r="A109" t="s">
        <v>243</v>
      </c>
      <c r="B109" s="2">
        <v>45157</v>
      </c>
      <c r="C109" t="s">
        <v>244</v>
      </c>
      <c r="D109" t="s">
        <v>14</v>
      </c>
      <c r="E109" t="s">
        <v>22</v>
      </c>
      <c r="F109" t="s">
        <v>32</v>
      </c>
      <c r="G109" t="s">
        <v>24</v>
      </c>
      <c r="H109">
        <v>2</v>
      </c>
      <c r="I109">
        <v>300</v>
      </c>
      <c r="J109">
        <v>5</v>
      </c>
      <c r="K109">
        <v>9</v>
      </c>
      <c r="L109" t="s">
        <v>49</v>
      </c>
    </row>
    <row r="110" spans="1:12">
      <c r="A110" t="s">
        <v>245</v>
      </c>
      <c r="B110" s="2">
        <v>44967</v>
      </c>
      <c r="C110" t="s">
        <v>246</v>
      </c>
      <c r="D110" t="s">
        <v>21</v>
      </c>
      <c r="E110" t="s">
        <v>15</v>
      </c>
      <c r="F110" t="s">
        <v>32</v>
      </c>
      <c r="G110" t="s">
        <v>17</v>
      </c>
      <c r="H110">
        <v>2</v>
      </c>
      <c r="I110">
        <v>1200</v>
      </c>
      <c r="J110">
        <v>4</v>
      </c>
      <c r="K110">
        <v>9</v>
      </c>
      <c r="L110" t="s">
        <v>33</v>
      </c>
    </row>
    <row r="111" spans="1:12">
      <c r="A111" t="s">
        <v>247</v>
      </c>
      <c r="B111" s="2">
        <v>44954</v>
      </c>
      <c r="C111" t="s">
        <v>146</v>
      </c>
      <c r="D111" t="s">
        <v>21</v>
      </c>
      <c r="E111" t="s">
        <v>22</v>
      </c>
      <c r="F111" t="s">
        <v>23</v>
      </c>
      <c r="G111" t="s">
        <v>17</v>
      </c>
      <c r="H111">
        <v>2</v>
      </c>
      <c r="I111">
        <v>150</v>
      </c>
      <c r="J111">
        <v>5</v>
      </c>
      <c r="K111">
        <v>2</v>
      </c>
      <c r="L111" t="s">
        <v>49</v>
      </c>
    </row>
    <row r="112" spans="1:12">
      <c r="A112" t="s">
        <v>248</v>
      </c>
      <c r="B112" s="2">
        <v>45061</v>
      </c>
      <c r="C112" t="s">
        <v>249</v>
      </c>
      <c r="D112" t="s">
        <v>52</v>
      </c>
      <c r="E112" t="s">
        <v>15</v>
      </c>
      <c r="F112" t="s">
        <v>32</v>
      </c>
      <c r="G112" t="s">
        <v>24</v>
      </c>
      <c r="H112">
        <v>2</v>
      </c>
      <c r="I112">
        <v>500</v>
      </c>
      <c r="J112">
        <v>4</v>
      </c>
      <c r="K112">
        <v>4</v>
      </c>
      <c r="L112" t="s">
        <v>49</v>
      </c>
    </row>
    <row r="113" spans="1:12">
      <c r="A113" t="s">
        <v>250</v>
      </c>
      <c r="B113" s="2">
        <v>45127</v>
      </c>
      <c r="C113" t="s">
        <v>251</v>
      </c>
      <c r="D113" t="s">
        <v>52</v>
      </c>
      <c r="E113" t="s">
        <v>31</v>
      </c>
      <c r="F113" t="s">
        <v>16</v>
      </c>
      <c r="G113" t="s">
        <v>17</v>
      </c>
      <c r="H113">
        <v>1</v>
      </c>
      <c r="I113">
        <v>1200</v>
      </c>
      <c r="J113">
        <v>3</v>
      </c>
      <c r="K113">
        <v>8</v>
      </c>
      <c r="L113" t="s">
        <v>33</v>
      </c>
    </row>
    <row r="114" spans="1:12">
      <c r="A114" t="s">
        <v>252</v>
      </c>
      <c r="B114" s="2">
        <v>45254</v>
      </c>
      <c r="C114" t="s">
        <v>253</v>
      </c>
      <c r="D114" t="s">
        <v>52</v>
      </c>
      <c r="E114" t="s">
        <v>15</v>
      </c>
      <c r="F114" t="s">
        <v>16</v>
      </c>
      <c r="G114" t="s">
        <v>24</v>
      </c>
      <c r="H114">
        <v>2</v>
      </c>
      <c r="I114">
        <v>150</v>
      </c>
      <c r="J114">
        <v>1</v>
      </c>
      <c r="K114">
        <v>7</v>
      </c>
      <c r="L114" t="s">
        <v>33</v>
      </c>
    </row>
    <row r="115" spans="1:12">
      <c r="A115" t="s">
        <v>254</v>
      </c>
      <c r="B115" s="2">
        <v>45194</v>
      </c>
      <c r="C115" t="s">
        <v>255</v>
      </c>
      <c r="D115" t="s">
        <v>52</v>
      </c>
      <c r="E115" t="s">
        <v>22</v>
      </c>
      <c r="F115" t="s">
        <v>32</v>
      </c>
      <c r="G115" t="s">
        <v>24</v>
      </c>
      <c r="H115">
        <v>1</v>
      </c>
      <c r="I115">
        <v>800</v>
      </c>
      <c r="J115">
        <v>3</v>
      </c>
      <c r="K115">
        <v>1</v>
      </c>
      <c r="L115" t="s">
        <v>49</v>
      </c>
    </row>
    <row r="116" spans="1:12">
      <c r="A116" t="s">
        <v>256</v>
      </c>
      <c r="B116" s="2">
        <v>44959</v>
      </c>
      <c r="C116" t="s">
        <v>257</v>
      </c>
      <c r="D116" t="s">
        <v>21</v>
      </c>
      <c r="E116" t="s">
        <v>22</v>
      </c>
      <c r="F116" t="s">
        <v>16</v>
      </c>
      <c r="G116" t="s">
        <v>17</v>
      </c>
      <c r="H116">
        <v>1</v>
      </c>
      <c r="I116">
        <v>300</v>
      </c>
      <c r="J116">
        <v>1</v>
      </c>
      <c r="K116">
        <v>5</v>
      </c>
      <c r="L116" t="s">
        <v>18</v>
      </c>
    </row>
    <row r="117" spans="1:12">
      <c r="A117" t="s">
        <v>258</v>
      </c>
      <c r="B117" s="2">
        <v>44974</v>
      </c>
      <c r="C117" t="s">
        <v>259</v>
      </c>
      <c r="D117" t="s">
        <v>14</v>
      </c>
      <c r="E117" t="s">
        <v>22</v>
      </c>
      <c r="F117" t="s">
        <v>23</v>
      </c>
      <c r="G117" t="s">
        <v>24</v>
      </c>
      <c r="H117">
        <v>2</v>
      </c>
      <c r="I117">
        <v>300</v>
      </c>
      <c r="J117">
        <v>1</v>
      </c>
      <c r="K117">
        <v>7</v>
      </c>
      <c r="L117" t="s">
        <v>18</v>
      </c>
    </row>
    <row r="118" spans="1:12">
      <c r="A118" t="s">
        <v>260</v>
      </c>
      <c r="B118" s="2">
        <v>44988</v>
      </c>
      <c r="C118" t="s">
        <v>261</v>
      </c>
      <c r="D118" t="s">
        <v>21</v>
      </c>
      <c r="E118" t="s">
        <v>31</v>
      </c>
      <c r="F118" t="s">
        <v>65</v>
      </c>
      <c r="G118" t="s">
        <v>24</v>
      </c>
      <c r="H118">
        <v>2</v>
      </c>
      <c r="I118">
        <v>300</v>
      </c>
      <c r="J118">
        <v>5</v>
      </c>
      <c r="K118">
        <v>4</v>
      </c>
      <c r="L118" t="s">
        <v>33</v>
      </c>
    </row>
    <row r="119" spans="1:12">
      <c r="A119" t="s">
        <v>262</v>
      </c>
      <c r="B119" s="2">
        <v>45142</v>
      </c>
      <c r="C119" t="s">
        <v>263</v>
      </c>
      <c r="D119" t="s">
        <v>52</v>
      </c>
      <c r="E119" t="s">
        <v>31</v>
      </c>
      <c r="F119" t="s">
        <v>23</v>
      </c>
      <c r="G119" t="s">
        <v>17</v>
      </c>
      <c r="H119">
        <v>4</v>
      </c>
      <c r="I119">
        <v>800</v>
      </c>
      <c r="J119">
        <v>3</v>
      </c>
      <c r="K119">
        <v>1</v>
      </c>
      <c r="L119" t="s">
        <v>28</v>
      </c>
    </row>
    <row r="120" spans="1:12">
      <c r="A120" t="s">
        <v>264</v>
      </c>
      <c r="B120" s="2">
        <v>45219</v>
      </c>
      <c r="C120" t="s">
        <v>265</v>
      </c>
      <c r="D120" t="s">
        <v>21</v>
      </c>
      <c r="E120" t="s">
        <v>27</v>
      </c>
      <c r="F120" t="s">
        <v>23</v>
      </c>
      <c r="G120" t="s">
        <v>24</v>
      </c>
      <c r="H120">
        <v>1</v>
      </c>
      <c r="I120">
        <v>150</v>
      </c>
      <c r="J120">
        <v>4</v>
      </c>
      <c r="K120">
        <v>9</v>
      </c>
      <c r="L120" t="s">
        <v>18</v>
      </c>
    </row>
    <row r="121" spans="1:12">
      <c r="A121" t="s">
        <v>266</v>
      </c>
      <c r="B121" s="2">
        <v>45025</v>
      </c>
      <c r="C121" t="s">
        <v>267</v>
      </c>
      <c r="D121" t="s">
        <v>14</v>
      </c>
      <c r="E121" t="s">
        <v>22</v>
      </c>
      <c r="F121" t="s">
        <v>16</v>
      </c>
      <c r="G121" t="s">
        <v>17</v>
      </c>
      <c r="H121">
        <v>2</v>
      </c>
      <c r="I121">
        <v>800</v>
      </c>
      <c r="J121">
        <v>3</v>
      </c>
      <c r="K121">
        <v>5</v>
      </c>
      <c r="L121" t="s">
        <v>33</v>
      </c>
    </row>
    <row r="122" spans="1:12">
      <c r="A122" t="s">
        <v>268</v>
      </c>
      <c r="B122" s="2">
        <v>45098</v>
      </c>
      <c r="C122" t="s">
        <v>269</v>
      </c>
      <c r="D122" t="s">
        <v>14</v>
      </c>
      <c r="E122" t="s">
        <v>15</v>
      </c>
      <c r="F122" t="s">
        <v>65</v>
      </c>
      <c r="G122" t="s">
        <v>17</v>
      </c>
      <c r="H122">
        <v>2</v>
      </c>
      <c r="I122">
        <v>300</v>
      </c>
      <c r="J122">
        <v>5</v>
      </c>
      <c r="K122">
        <v>2</v>
      </c>
      <c r="L122" t="s">
        <v>18</v>
      </c>
    </row>
    <row r="123" spans="1:12">
      <c r="A123" t="s">
        <v>270</v>
      </c>
      <c r="B123" s="2">
        <v>45286</v>
      </c>
      <c r="C123" t="s">
        <v>271</v>
      </c>
      <c r="D123" t="s">
        <v>21</v>
      </c>
      <c r="E123" t="s">
        <v>31</v>
      </c>
      <c r="F123" t="s">
        <v>16</v>
      </c>
      <c r="G123" t="s">
        <v>17</v>
      </c>
      <c r="H123">
        <v>2</v>
      </c>
      <c r="I123">
        <v>1200</v>
      </c>
      <c r="J123">
        <v>1</v>
      </c>
      <c r="K123">
        <v>8</v>
      </c>
      <c r="L123" t="s">
        <v>28</v>
      </c>
    </row>
    <row r="124" spans="1:12">
      <c r="A124" t="s">
        <v>272</v>
      </c>
      <c r="B124" s="2">
        <v>45140</v>
      </c>
      <c r="C124" t="s">
        <v>273</v>
      </c>
      <c r="D124" t="s">
        <v>21</v>
      </c>
      <c r="E124" t="s">
        <v>22</v>
      </c>
      <c r="F124" t="s">
        <v>44</v>
      </c>
      <c r="G124" t="s">
        <v>17</v>
      </c>
      <c r="H124">
        <v>4</v>
      </c>
      <c r="I124">
        <v>500</v>
      </c>
      <c r="J124">
        <v>5</v>
      </c>
      <c r="K124">
        <v>2</v>
      </c>
      <c r="L124" t="s">
        <v>33</v>
      </c>
    </row>
    <row r="125" spans="1:12">
      <c r="A125" t="s">
        <v>274</v>
      </c>
      <c r="B125" s="2">
        <v>44961</v>
      </c>
      <c r="C125" t="s">
        <v>275</v>
      </c>
      <c r="D125" t="s">
        <v>21</v>
      </c>
      <c r="E125" t="s">
        <v>22</v>
      </c>
      <c r="F125" t="s">
        <v>16</v>
      </c>
      <c r="G125" t="s">
        <v>24</v>
      </c>
      <c r="H125">
        <v>4</v>
      </c>
      <c r="I125">
        <v>800</v>
      </c>
      <c r="J125">
        <v>2</v>
      </c>
      <c r="K125">
        <v>3</v>
      </c>
      <c r="L125" t="s">
        <v>28</v>
      </c>
    </row>
    <row r="126" spans="1:12">
      <c r="A126" t="s">
        <v>276</v>
      </c>
      <c r="B126" s="2">
        <v>45153</v>
      </c>
      <c r="C126" t="s">
        <v>277</v>
      </c>
      <c r="D126" t="s">
        <v>52</v>
      </c>
      <c r="E126" t="s">
        <v>31</v>
      </c>
      <c r="F126" t="s">
        <v>16</v>
      </c>
      <c r="G126" t="s">
        <v>17</v>
      </c>
      <c r="H126">
        <v>3</v>
      </c>
      <c r="I126">
        <v>800</v>
      </c>
      <c r="J126">
        <v>2</v>
      </c>
      <c r="K126">
        <v>1</v>
      </c>
      <c r="L126" t="s">
        <v>33</v>
      </c>
    </row>
    <row r="127" spans="1:12">
      <c r="A127" t="s">
        <v>278</v>
      </c>
      <c r="B127" s="2">
        <v>45027</v>
      </c>
      <c r="C127" t="s">
        <v>279</v>
      </c>
      <c r="D127" t="s">
        <v>21</v>
      </c>
      <c r="E127" t="s">
        <v>27</v>
      </c>
      <c r="F127" t="s">
        <v>16</v>
      </c>
      <c r="G127" t="s">
        <v>17</v>
      </c>
      <c r="H127">
        <v>1</v>
      </c>
      <c r="I127">
        <v>150</v>
      </c>
      <c r="J127">
        <v>4</v>
      </c>
      <c r="K127">
        <v>2</v>
      </c>
      <c r="L127" t="s">
        <v>28</v>
      </c>
    </row>
    <row r="128" spans="1:12">
      <c r="A128" t="s">
        <v>280</v>
      </c>
      <c r="B128" s="2">
        <v>45057</v>
      </c>
      <c r="C128" t="s">
        <v>281</v>
      </c>
      <c r="D128" t="s">
        <v>21</v>
      </c>
      <c r="E128" t="s">
        <v>31</v>
      </c>
      <c r="F128" t="s">
        <v>65</v>
      </c>
      <c r="G128" t="s">
        <v>24</v>
      </c>
      <c r="H128">
        <v>3</v>
      </c>
      <c r="I128">
        <v>150</v>
      </c>
      <c r="J128">
        <v>5</v>
      </c>
      <c r="K128">
        <v>7</v>
      </c>
      <c r="L128" t="s">
        <v>18</v>
      </c>
    </row>
    <row r="129" spans="1:12">
      <c r="A129" t="s">
        <v>282</v>
      </c>
      <c r="B129" s="2">
        <v>45183</v>
      </c>
      <c r="C129" t="s">
        <v>283</v>
      </c>
      <c r="D129" t="s">
        <v>21</v>
      </c>
      <c r="E129" t="s">
        <v>31</v>
      </c>
      <c r="F129" t="s">
        <v>16</v>
      </c>
      <c r="G129" t="s">
        <v>17</v>
      </c>
      <c r="H129">
        <v>2</v>
      </c>
      <c r="I129">
        <v>800</v>
      </c>
      <c r="J129">
        <v>4</v>
      </c>
      <c r="K129">
        <v>2</v>
      </c>
      <c r="L129" t="s">
        <v>18</v>
      </c>
    </row>
    <row r="130" spans="1:12">
      <c r="A130" t="s">
        <v>284</v>
      </c>
      <c r="B130" s="2">
        <v>44931</v>
      </c>
      <c r="C130" t="s">
        <v>285</v>
      </c>
      <c r="D130" t="s">
        <v>14</v>
      </c>
      <c r="E130" t="s">
        <v>15</v>
      </c>
      <c r="F130" t="s">
        <v>65</v>
      </c>
      <c r="G130" t="s">
        <v>17</v>
      </c>
      <c r="H130">
        <v>4</v>
      </c>
      <c r="I130">
        <v>300</v>
      </c>
      <c r="J130">
        <v>4</v>
      </c>
      <c r="K130">
        <v>6</v>
      </c>
      <c r="L130" t="s">
        <v>28</v>
      </c>
    </row>
    <row r="131" spans="1:12">
      <c r="A131" t="s">
        <v>286</v>
      </c>
      <c r="B131" s="2">
        <v>45144</v>
      </c>
      <c r="C131" t="s">
        <v>287</v>
      </c>
      <c r="D131" t="s">
        <v>14</v>
      </c>
      <c r="E131" t="s">
        <v>15</v>
      </c>
      <c r="F131" t="s">
        <v>32</v>
      </c>
      <c r="G131" t="s">
        <v>24</v>
      </c>
      <c r="H131">
        <v>4</v>
      </c>
      <c r="I131">
        <v>500</v>
      </c>
      <c r="J131">
        <v>2</v>
      </c>
      <c r="K131">
        <v>3</v>
      </c>
      <c r="L131" t="s">
        <v>28</v>
      </c>
    </row>
    <row r="132" spans="1:12">
      <c r="A132" t="s">
        <v>288</v>
      </c>
      <c r="B132" s="2">
        <v>45181</v>
      </c>
      <c r="C132" t="s">
        <v>289</v>
      </c>
      <c r="D132" t="s">
        <v>52</v>
      </c>
      <c r="E132" t="s">
        <v>27</v>
      </c>
      <c r="F132" t="s">
        <v>44</v>
      </c>
      <c r="G132" t="s">
        <v>24</v>
      </c>
      <c r="H132">
        <v>3</v>
      </c>
      <c r="I132">
        <v>150</v>
      </c>
      <c r="J132">
        <v>4</v>
      </c>
      <c r="K132">
        <v>4</v>
      </c>
      <c r="L132" t="s">
        <v>28</v>
      </c>
    </row>
    <row r="133" spans="1:12">
      <c r="A133" t="s">
        <v>290</v>
      </c>
      <c r="B133" s="2">
        <v>45285</v>
      </c>
      <c r="C133" t="s">
        <v>291</v>
      </c>
      <c r="D133" t="s">
        <v>52</v>
      </c>
      <c r="E133" t="s">
        <v>22</v>
      </c>
      <c r="F133" t="s">
        <v>65</v>
      </c>
      <c r="G133" t="s">
        <v>24</v>
      </c>
      <c r="H133">
        <v>4</v>
      </c>
      <c r="I133">
        <v>300</v>
      </c>
      <c r="J133">
        <v>2</v>
      </c>
      <c r="K133">
        <v>8</v>
      </c>
      <c r="L133" t="s">
        <v>33</v>
      </c>
    </row>
    <row r="134" spans="1:12">
      <c r="A134" t="s">
        <v>292</v>
      </c>
      <c r="B134" s="2">
        <v>45209</v>
      </c>
      <c r="C134" t="s">
        <v>293</v>
      </c>
      <c r="D134" t="s">
        <v>14</v>
      </c>
      <c r="E134" t="s">
        <v>31</v>
      </c>
      <c r="F134" t="s">
        <v>32</v>
      </c>
      <c r="G134" t="s">
        <v>24</v>
      </c>
      <c r="H134">
        <v>2</v>
      </c>
      <c r="I134">
        <v>1200</v>
      </c>
      <c r="J134">
        <v>1</v>
      </c>
      <c r="K134">
        <v>3</v>
      </c>
      <c r="L134" t="s">
        <v>18</v>
      </c>
    </row>
    <row r="135" spans="1:12">
      <c r="A135" t="s">
        <v>294</v>
      </c>
      <c r="B135" s="2">
        <v>45133</v>
      </c>
      <c r="C135" t="s">
        <v>295</v>
      </c>
      <c r="D135" t="s">
        <v>14</v>
      </c>
      <c r="E135" t="s">
        <v>27</v>
      </c>
      <c r="F135" t="s">
        <v>65</v>
      </c>
      <c r="G135" t="s">
        <v>24</v>
      </c>
      <c r="H135">
        <v>4</v>
      </c>
      <c r="I135">
        <v>150</v>
      </c>
      <c r="J135">
        <v>5</v>
      </c>
      <c r="K135">
        <v>6</v>
      </c>
      <c r="L135" t="s">
        <v>33</v>
      </c>
    </row>
    <row r="136" spans="1:12">
      <c r="A136" t="s">
        <v>296</v>
      </c>
      <c r="B136" s="2">
        <v>44941</v>
      </c>
      <c r="C136" t="s">
        <v>297</v>
      </c>
      <c r="D136" t="s">
        <v>14</v>
      </c>
      <c r="E136" t="s">
        <v>15</v>
      </c>
      <c r="F136" t="s">
        <v>65</v>
      </c>
      <c r="G136" t="s">
        <v>24</v>
      </c>
      <c r="H136">
        <v>3</v>
      </c>
      <c r="I136">
        <v>300</v>
      </c>
      <c r="J136">
        <v>4</v>
      </c>
      <c r="K136">
        <v>1</v>
      </c>
      <c r="L136" t="s">
        <v>18</v>
      </c>
    </row>
    <row r="137" spans="1:12">
      <c r="A137" t="s">
        <v>298</v>
      </c>
      <c r="B137" s="2">
        <v>45272</v>
      </c>
      <c r="C137" t="s">
        <v>299</v>
      </c>
      <c r="D137" t="s">
        <v>21</v>
      </c>
      <c r="E137" t="s">
        <v>31</v>
      </c>
      <c r="F137" t="s">
        <v>44</v>
      </c>
      <c r="G137" t="s">
        <v>24</v>
      </c>
      <c r="H137">
        <v>2</v>
      </c>
      <c r="I137">
        <v>300</v>
      </c>
      <c r="J137">
        <v>2</v>
      </c>
      <c r="K137">
        <v>7</v>
      </c>
      <c r="L137" t="s">
        <v>49</v>
      </c>
    </row>
    <row r="138" spans="1:12">
      <c r="A138" t="s">
        <v>300</v>
      </c>
      <c r="B138" s="2">
        <v>44968</v>
      </c>
      <c r="C138" t="s">
        <v>301</v>
      </c>
      <c r="D138" t="s">
        <v>21</v>
      </c>
      <c r="E138" t="s">
        <v>22</v>
      </c>
      <c r="F138" t="s">
        <v>23</v>
      </c>
      <c r="G138" t="s">
        <v>17</v>
      </c>
      <c r="H138">
        <v>3</v>
      </c>
      <c r="I138">
        <v>500</v>
      </c>
      <c r="J138">
        <v>3</v>
      </c>
      <c r="K138">
        <v>8</v>
      </c>
      <c r="L138" t="s">
        <v>33</v>
      </c>
    </row>
    <row r="139" spans="1:12">
      <c r="A139" t="s">
        <v>302</v>
      </c>
      <c r="B139" s="2">
        <v>45105</v>
      </c>
      <c r="C139" t="s">
        <v>303</v>
      </c>
      <c r="D139" t="s">
        <v>14</v>
      </c>
      <c r="E139" t="s">
        <v>15</v>
      </c>
      <c r="F139" t="s">
        <v>23</v>
      </c>
      <c r="G139" t="s">
        <v>24</v>
      </c>
      <c r="H139">
        <v>4</v>
      </c>
      <c r="I139">
        <v>500</v>
      </c>
      <c r="J139">
        <v>4</v>
      </c>
      <c r="K139">
        <v>8</v>
      </c>
      <c r="L139" t="s">
        <v>18</v>
      </c>
    </row>
    <row r="140" spans="1:12">
      <c r="A140" t="s">
        <v>304</v>
      </c>
      <c r="B140" s="2">
        <v>44989</v>
      </c>
      <c r="C140" t="s">
        <v>305</v>
      </c>
      <c r="D140" t="s">
        <v>21</v>
      </c>
      <c r="E140" t="s">
        <v>15</v>
      </c>
      <c r="F140" t="s">
        <v>65</v>
      </c>
      <c r="G140" t="s">
        <v>24</v>
      </c>
      <c r="H140">
        <v>3</v>
      </c>
      <c r="I140">
        <v>1200</v>
      </c>
      <c r="J140">
        <v>1</v>
      </c>
      <c r="K140">
        <v>3</v>
      </c>
      <c r="L140" t="s">
        <v>18</v>
      </c>
    </row>
    <row r="141" spans="1:12">
      <c r="A141" t="s">
        <v>306</v>
      </c>
      <c r="B141" s="2">
        <v>45278</v>
      </c>
      <c r="C141" t="s">
        <v>307</v>
      </c>
      <c r="D141" t="s">
        <v>21</v>
      </c>
      <c r="E141" t="s">
        <v>15</v>
      </c>
      <c r="F141" t="s">
        <v>16</v>
      </c>
      <c r="G141" t="s">
        <v>24</v>
      </c>
      <c r="H141">
        <v>3</v>
      </c>
      <c r="I141">
        <v>300</v>
      </c>
      <c r="J141">
        <v>1</v>
      </c>
      <c r="K141">
        <v>1</v>
      </c>
      <c r="L141" t="s">
        <v>33</v>
      </c>
    </row>
    <row r="142" spans="1:12">
      <c r="A142" t="s">
        <v>308</v>
      </c>
      <c r="B142" s="2">
        <v>45157</v>
      </c>
      <c r="C142" t="s">
        <v>309</v>
      </c>
      <c r="D142" t="s">
        <v>52</v>
      </c>
      <c r="E142" t="s">
        <v>27</v>
      </c>
      <c r="F142" t="s">
        <v>32</v>
      </c>
      <c r="G142" t="s">
        <v>17</v>
      </c>
      <c r="H142">
        <v>1</v>
      </c>
      <c r="I142">
        <v>300</v>
      </c>
      <c r="J142">
        <v>3</v>
      </c>
      <c r="K142">
        <v>9</v>
      </c>
      <c r="L142" t="s">
        <v>33</v>
      </c>
    </row>
    <row r="143" spans="1:12">
      <c r="A143" t="s">
        <v>310</v>
      </c>
      <c r="B143" s="2">
        <v>45167</v>
      </c>
      <c r="C143" t="s">
        <v>311</v>
      </c>
      <c r="D143" t="s">
        <v>14</v>
      </c>
      <c r="E143" t="s">
        <v>22</v>
      </c>
      <c r="F143" t="s">
        <v>16</v>
      </c>
      <c r="G143" t="s">
        <v>17</v>
      </c>
      <c r="H143">
        <v>4</v>
      </c>
      <c r="I143">
        <v>500</v>
      </c>
      <c r="J143">
        <v>2</v>
      </c>
      <c r="K143">
        <v>6</v>
      </c>
      <c r="L143" t="s">
        <v>18</v>
      </c>
    </row>
    <row r="144" spans="1:12">
      <c r="A144" t="s">
        <v>312</v>
      </c>
      <c r="B144" s="2">
        <v>44978</v>
      </c>
      <c r="C144" t="s">
        <v>313</v>
      </c>
      <c r="D144" t="s">
        <v>14</v>
      </c>
      <c r="E144" t="s">
        <v>31</v>
      </c>
      <c r="F144" t="s">
        <v>16</v>
      </c>
      <c r="G144" t="s">
        <v>24</v>
      </c>
      <c r="H144">
        <v>4</v>
      </c>
      <c r="I144">
        <v>150</v>
      </c>
      <c r="J144">
        <v>4</v>
      </c>
      <c r="K144">
        <v>9</v>
      </c>
      <c r="L144" t="s">
        <v>33</v>
      </c>
    </row>
    <row r="145" spans="1:12">
      <c r="A145" t="s">
        <v>314</v>
      </c>
      <c r="B145" s="2">
        <v>45022</v>
      </c>
      <c r="C145" t="s">
        <v>315</v>
      </c>
      <c r="D145" t="s">
        <v>21</v>
      </c>
      <c r="E145" t="s">
        <v>27</v>
      </c>
      <c r="F145" t="s">
        <v>65</v>
      </c>
      <c r="G145" t="s">
        <v>24</v>
      </c>
      <c r="H145">
        <v>3</v>
      </c>
      <c r="I145">
        <v>150</v>
      </c>
      <c r="J145">
        <v>2</v>
      </c>
      <c r="K145">
        <v>7</v>
      </c>
      <c r="L145" t="s">
        <v>28</v>
      </c>
    </row>
    <row r="146" spans="1:12">
      <c r="A146" t="s">
        <v>316</v>
      </c>
      <c r="B146" s="2">
        <v>45148</v>
      </c>
      <c r="C146" t="s">
        <v>317</v>
      </c>
      <c r="D146" t="s">
        <v>14</v>
      </c>
      <c r="E146" t="s">
        <v>27</v>
      </c>
      <c r="F146" t="s">
        <v>65</v>
      </c>
      <c r="G146" t="s">
        <v>24</v>
      </c>
      <c r="H146">
        <v>1</v>
      </c>
      <c r="I146">
        <v>800</v>
      </c>
      <c r="J146">
        <v>1</v>
      </c>
      <c r="K146">
        <v>1</v>
      </c>
      <c r="L146" t="s">
        <v>33</v>
      </c>
    </row>
    <row r="147" spans="1:12">
      <c r="A147" t="s">
        <v>318</v>
      </c>
      <c r="B147" s="2">
        <v>45157</v>
      </c>
      <c r="C147" t="s">
        <v>319</v>
      </c>
      <c r="D147" t="s">
        <v>52</v>
      </c>
      <c r="E147" t="s">
        <v>27</v>
      </c>
      <c r="F147" t="s">
        <v>65</v>
      </c>
      <c r="G147" t="s">
        <v>17</v>
      </c>
      <c r="H147">
        <v>4</v>
      </c>
      <c r="I147">
        <v>500</v>
      </c>
      <c r="J147">
        <v>2</v>
      </c>
      <c r="K147">
        <v>1</v>
      </c>
      <c r="L147" t="s">
        <v>33</v>
      </c>
    </row>
    <row r="148" spans="1:12">
      <c r="A148" t="s">
        <v>320</v>
      </c>
      <c r="B148" s="2">
        <v>45163</v>
      </c>
      <c r="C148" t="s">
        <v>321</v>
      </c>
      <c r="D148" t="s">
        <v>52</v>
      </c>
      <c r="E148" t="s">
        <v>15</v>
      </c>
      <c r="F148" t="s">
        <v>65</v>
      </c>
      <c r="G148" t="s">
        <v>17</v>
      </c>
      <c r="H148">
        <v>2</v>
      </c>
      <c r="I148">
        <v>800</v>
      </c>
      <c r="J148">
        <v>1</v>
      </c>
      <c r="K148">
        <v>6</v>
      </c>
      <c r="L148" t="s">
        <v>33</v>
      </c>
    </row>
    <row r="149" spans="1:12">
      <c r="A149" t="s">
        <v>322</v>
      </c>
      <c r="B149" s="2">
        <v>45069</v>
      </c>
      <c r="C149" t="s">
        <v>323</v>
      </c>
      <c r="D149" t="s">
        <v>52</v>
      </c>
      <c r="E149" t="s">
        <v>22</v>
      </c>
      <c r="F149" t="s">
        <v>23</v>
      </c>
      <c r="G149" t="s">
        <v>24</v>
      </c>
      <c r="H149">
        <v>3</v>
      </c>
      <c r="I149">
        <v>500</v>
      </c>
      <c r="J149">
        <v>2</v>
      </c>
      <c r="K149">
        <v>5</v>
      </c>
      <c r="L149" t="s">
        <v>18</v>
      </c>
    </row>
    <row r="150" spans="1:12">
      <c r="A150" t="s">
        <v>324</v>
      </c>
      <c r="B150" s="2">
        <v>45097</v>
      </c>
      <c r="C150" t="s">
        <v>325</v>
      </c>
      <c r="D150" t="s">
        <v>14</v>
      </c>
      <c r="E150" t="s">
        <v>27</v>
      </c>
      <c r="F150" t="s">
        <v>65</v>
      </c>
      <c r="G150" t="s">
        <v>17</v>
      </c>
      <c r="H150">
        <v>4</v>
      </c>
      <c r="I150">
        <v>1200</v>
      </c>
      <c r="J150">
        <v>3</v>
      </c>
      <c r="K150">
        <v>9</v>
      </c>
      <c r="L150" t="s">
        <v>28</v>
      </c>
    </row>
    <row r="151" spans="1:12">
      <c r="A151" t="s">
        <v>326</v>
      </c>
      <c r="B151" s="2">
        <v>44955</v>
      </c>
      <c r="C151" t="s">
        <v>327</v>
      </c>
      <c r="D151" t="s">
        <v>14</v>
      </c>
      <c r="E151" t="s">
        <v>31</v>
      </c>
      <c r="F151" t="s">
        <v>23</v>
      </c>
      <c r="G151" t="s">
        <v>24</v>
      </c>
      <c r="H151">
        <v>2</v>
      </c>
      <c r="I151">
        <v>300</v>
      </c>
      <c r="J151">
        <v>5</v>
      </c>
      <c r="K151">
        <v>2</v>
      </c>
      <c r="L151" t="s">
        <v>49</v>
      </c>
    </row>
    <row r="152" spans="1:12">
      <c r="A152" t="s">
        <v>328</v>
      </c>
      <c r="B152" s="2">
        <v>44962</v>
      </c>
      <c r="C152" t="s">
        <v>329</v>
      </c>
      <c r="D152" t="s">
        <v>14</v>
      </c>
      <c r="E152" t="s">
        <v>22</v>
      </c>
      <c r="F152" t="s">
        <v>23</v>
      </c>
      <c r="G152" t="s">
        <v>17</v>
      </c>
      <c r="H152">
        <v>4</v>
      </c>
      <c r="I152">
        <v>1200</v>
      </c>
      <c r="J152">
        <v>3</v>
      </c>
      <c r="K152">
        <v>8</v>
      </c>
      <c r="L152" t="s">
        <v>49</v>
      </c>
    </row>
    <row r="153" spans="1:12">
      <c r="A153" t="s">
        <v>330</v>
      </c>
      <c r="B153" s="2">
        <v>44939</v>
      </c>
      <c r="C153" t="s">
        <v>331</v>
      </c>
      <c r="D153" t="s">
        <v>14</v>
      </c>
      <c r="E153" t="s">
        <v>31</v>
      </c>
      <c r="F153" t="s">
        <v>65</v>
      </c>
      <c r="G153" t="s">
        <v>17</v>
      </c>
      <c r="H153">
        <v>2</v>
      </c>
      <c r="I153">
        <v>500</v>
      </c>
      <c r="J153">
        <v>3</v>
      </c>
      <c r="K153">
        <v>5</v>
      </c>
      <c r="L153" t="s">
        <v>28</v>
      </c>
    </row>
    <row r="154" spans="1:12">
      <c r="A154" t="s">
        <v>332</v>
      </c>
      <c r="B154" s="2">
        <v>45086</v>
      </c>
      <c r="C154" t="s">
        <v>263</v>
      </c>
      <c r="D154" t="s">
        <v>14</v>
      </c>
      <c r="E154" t="s">
        <v>22</v>
      </c>
      <c r="F154" t="s">
        <v>44</v>
      </c>
      <c r="G154" t="s">
        <v>24</v>
      </c>
      <c r="H154">
        <v>3</v>
      </c>
      <c r="I154">
        <v>300</v>
      </c>
      <c r="J154">
        <v>5</v>
      </c>
      <c r="K154">
        <v>2</v>
      </c>
      <c r="L154" t="s">
        <v>28</v>
      </c>
    </row>
    <row r="155" spans="1:12">
      <c r="A155" t="s">
        <v>333</v>
      </c>
      <c r="B155" s="2">
        <v>45253</v>
      </c>
      <c r="C155" t="s">
        <v>334</v>
      </c>
      <c r="D155" t="s">
        <v>52</v>
      </c>
      <c r="E155" t="s">
        <v>31</v>
      </c>
      <c r="F155" t="s">
        <v>32</v>
      </c>
      <c r="G155" t="s">
        <v>24</v>
      </c>
      <c r="H155">
        <v>4</v>
      </c>
      <c r="I155">
        <v>150</v>
      </c>
      <c r="J155">
        <v>5</v>
      </c>
      <c r="K155">
        <v>6</v>
      </c>
      <c r="L155" t="s">
        <v>28</v>
      </c>
    </row>
    <row r="156" spans="1:12">
      <c r="A156" t="s">
        <v>335</v>
      </c>
      <c r="B156" s="2">
        <v>45113</v>
      </c>
      <c r="C156" t="s">
        <v>336</v>
      </c>
      <c r="D156" t="s">
        <v>21</v>
      </c>
      <c r="E156" t="s">
        <v>15</v>
      </c>
      <c r="F156" t="s">
        <v>16</v>
      </c>
      <c r="G156" t="s">
        <v>24</v>
      </c>
      <c r="H156">
        <v>4</v>
      </c>
      <c r="I156">
        <v>150</v>
      </c>
      <c r="J156">
        <v>4</v>
      </c>
      <c r="K156">
        <v>8</v>
      </c>
      <c r="L156" t="s">
        <v>18</v>
      </c>
    </row>
    <row r="157" spans="1:12">
      <c r="A157" t="s">
        <v>337</v>
      </c>
      <c r="B157" s="2">
        <v>45169</v>
      </c>
      <c r="C157" t="s">
        <v>338</v>
      </c>
      <c r="D157" t="s">
        <v>52</v>
      </c>
      <c r="E157" t="s">
        <v>27</v>
      </c>
      <c r="F157" t="s">
        <v>23</v>
      </c>
      <c r="G157" t="s">
        <v>24</v>
      </c>
      <c r="H157">
        <v>1</v>
      </c>
      <c r="I157">
        <v>800</v>
      </c>
      <c r="J157">
        <v>4</v>
      </c>
      <c r="K157">
        <v>4</v>
      </c>
      <c r="L157" t="s">
        <v>49</v>
      </c>
    </row>
    <row r="158" spans="1:12">
      <c r="A158" t="s">
        <v>339</v>
      </c>
      <c r="B158" s="2">
        <v>45012</v>
      </c>
      <c r="C158" t="s">
        <v>340</v>
      </c>
      <c r="D158" t="s">
        <v>14</v>
      </c>
      <c r="E158" t="s">
        <v>31</v>
      </c>
      <c r="F158" t="s">
        <v>32</v>
      </c>
      <c r="G158" t="s">
        <v>17</v>
      </c>
      <c r="H158">
        <v>3</v>
      </c>
      <c r="I158">
        <v>500</v>
      </c>
      <c r="J158">
        <v>3</v>
      </c>
      <c r="K158">
        <v>2</v>
      </c>
      <c r="L158" t="s">
        <v>28</v>
      </c>
    </row>
    <row r="159" spans="1:12">
      <c r="A159" t="s">
        <v>341</v>
      </c>
      <c r="B159" s="2">
        <v>45210</v>
      </c>
      <c r="C159" t="s">
        <v>342</v>
      </c>
      <c r="D159" t="s">
        <v>52</v>
      </c>
      <c r="E159" t="s">
        <v>22</v>
      </c>
      <c r="F159" t="s">
        <v>44</v>
      </c>
      <c r="G159" t="s">
        <v>17</v>
      </c>
      <c r="H159">
        <v>2</v>
      </c>
      <c r="I159">
        <v>500</v>
      </c>
      <c r="J159">
        <v>3</v>
      </c>
      <c r="K159">
        <v>5</v>
      </c>
      <c r="L159" t="s">
        <v>18</v>
      </c>
    </row>
    <row r="160" spans="1:12">
      <c r="A160" t="s">
        <v>343</v>
      </c>
      <c r="B160" s="2">
        <v>44992</v>
      </c>
      <c r="C160" t="s">
        <v>344</v>
      </c>
      <c r="D160" t="s">
        <v>14</v>
      </c>
      <c r="E160" t="s">
        <v>27</v>
      </c>
      <c r="F160" t="s">
        <v>16</v>
      </c>
      <c r="G160" t="s">
        <v>17</v>
      </c>
      <c r="H160">
        <v>4</v>
      </c>
      <c r="I160">
        <v>150</v>
      </c>
      <c r="J160">
        <v>1</v>
      </c>
      <c r="K160">
        <v>2</v>
      </c>
      <c r="L160" t="s">
        <v>49</v>
      </c>
    </row>
    <row r="161" spans="1:12">
      <c r="A161" t="s">
        <v>345</v>
      </c>
      <c r="B161" s="2">
        <v>45096</v>
      </c>
      <c r="C161" t="s">
        <v>346</v>
      </c>
      <c r="D161" t="s">
        <v>14</v>
      </c>
      <c r="E161" t="s">
        <v>27</v>
      </c>
      <c r="F161" t="s">
        <v>16</v>
      </c>
      <c r="G161" t="s">
        <v>24</v>
      </c>
      <c r="H161">
        <v>4</v>
      </c>
      <c r="I161">
        <v>1200</v>
      </c>
      <c r="J161">
        <v>1</v>
      </c>
      <c r="K161">
        <v>2</v>
      </c>
      <c r="L161" t="s">
        <v>33</v>
      </c>
    </row>
    <row r="162" spans="1:12">
      <c r="A162" t="s">
        <v>347</v>
      </c>
      <c r="B162" s="2">
        <v>44971</v>
      </c>
      <c r="C162" t="s">
        <v>348</v>
      </c>
      <c r="D162" t="s">
        <v>52</v>
      </c>
      <c r="E162" t="s">
        <v>22</v>
      </c>
      <c r="F162" t="s">
        <v>23</v>
      </c>
      <c r="G162" t="s">
        <v>17</v>
      </c>
      <c r="H162">
        <v>2</v>
      </c>
      <c r="I162">
        <v>300</v>
      </c>
      <c r="J162">
        <v>4</v>
      </c>
      <c r="K162">
        <v>6</v>
      </c>
      <c r="L162" t="s">
        <v>18</v>
      </c>
    </row>
    <row r="163" spans="1:12">
      <c r="A163" t="s">
        <v>349</v>
      </c>
      <c r="B163" s="2">
        <v>44988</v>
      </c>
      <c r="C163" t="s">
        <v>350</v>
      </c>
      <c r="D163" t="s">
        <v>14</v>
      </c>
      <c r="E163" t="s">
        <v>31</v>
      </c>
      <c r="F163" t="s">
        <v>65</v>
      </c>
      <c r="G163" t="s">
        <v>24</v>
      </c>
      <c r="H163">
        <v>3</v>
      </c>
      <c r="I163">
        <v>1200</v>
      </c>
      <c r="J163">
        <v>4</v>
      </c>
      <c r="K163">
        <v>9</v>
      </c>
      <c r="L163" t="s">
        <v>49</v>
      </c>
    </row>
    <row r="164" spans="1:12">
      <c r="A164" t="s">
        <v>351</v>
      </c>
      <c r="B164" s="2">
        <v>45060</v>
      </c>
      <c r="C164" t="s">
        <v>352</v>
      </c>
      <c r="D164" t="s">
        <v>21</v>
      </c>
      <c r="E164" t="s">
        <v>15</v>
      </c>
      <c r="F164" t="s">
        <v>44</v>
      </c>
      <c r="G164" t="s">
        <v>17</v>
      </c>
      <c r="H164">
        <v>1</v>
      </c>
      <c r="I164">
        <v>1200</v>
      </c>
      <c r="J164">
        <v>1</v>
      </c>
      <c r="K164">
        <v>4</v>
      </c>
      <c r="L164" t="s">
        <v>18</v>
      </c>
    </row>
    <row r="165" spans="1:12">
      <c r="A165" t="s">
        <v>353</v>
      </c>
      <c r="B165" s="2">
        <v>45210</v>
      </c>
      <c r="C165" t="s">
        <v>354</v>
      </c>
      <c r="D165" t="s">
        <v>14</v>
      </c>
      <c r="E165" t="s">
        <v>15</v>
      </c>
      <c r="F165" t="s">
        <v>23</v>
      </c>
      <c r="G165" t="s">
        <v>24</v>
      </c>
      <c r="H165">
        <v>1</v>
      </c>
      <c r="I165">
        <v>150</v>
      </c>
      <c r="J165">
        <v>1</v>
      </c>
      <c r="K165">
        <v>6</v>
      </c>
      <c r="L165" t="s">
        <v>49</v>
      </c>
    </row>
    <row r="166" spans="1:12">
      <c r="A166" t="s">
        <v>355</v>
      </c>
      <c r="B166" s="2">
        <v>44954</v>
      </c>
      <c r="C166" t="s">
        <v>356</v>
      </c>
      <c r="D166" t="s">
        <v>21</v>
      </c>
      <c r="E166" t="s">
        <v>31</v>
      </c>
      <c r="F166" t="s">
        <v>44</v>
      </c>
      <c r="G166" t="s">
        <v>24</v>
      </c>
      <c r="H166">
        <v>4</v>
      </c>
      <c r="I166">
        <v>150</v>
      </c>
      <c r="J166">
        <v>2</v>
      </c>
      <c r="K166">
        <v>7</v>
      </c>
      <c r="L166" t="s">
        <v>49</v>
      </c>
    </row>
    <row r="167" spans="1:12">
      <c r="A167" t="s">
        <v>357</v>
      </c>
      <c r="B167" s="2">
        <v>45034</v>
      </c>
      <c r="C167" t="s">
        <v>358</v>
      </c>
      <c r="D167" t="s">
        <v>21</v>
      </c>
      <c r="E167" t="s">
        <v>27</v>
      </c>
      <c r="F167" t="s">
        <v>65</v>
      </c>
      <c r="G167" t="s">
        <v>17</v>
      </c>
      <c r="H167">
        <v>2</v>
      </c>
      <c r="I167">
        <v>150</v>
      </c>
      <c r="J167">
        <v>2</v>
      </c>
      <c r="K167">
        <v>6</v>
      </c>
      <c r="L167" t="s">
        <v>33</v>
      </c>
    </row>
    <row r="168" spans="1:12">
      <c r="A168" t="s">
        <v>359</v>
      </c>
      <c r="B168" s="2">
        <v>44970</v>
      </c>
      <c r="C168" t="s">
        <v>360</v>
      </c>
      <c r="D168" t="s">
        <v>14</v>
      </c>
      <c r="E168" t="s">
        <v>27</v>
      </c>
      <c r="F168" t="s">
        <v>65</v>
      </c>
      <c r="G168" t="s">
        <v>24</v>
      </c>
      <c r="H168">
        <v>4</v>
      </c>
      <c r="I168">
        <v>800</v>
      </c>
      <c r="J168">
        <v>1</v>
      </c>
      <c r="K168">
        <v>8</v>
      </c>
      <c r="L168" t="s">
        <v>18</v>
      </c>
    </row>
    <row r="169" spans="1:12">
      <c r="A169" t="s">
        <v>361</v>
      </c>
      <c r="B169" s="2">
        <v>45266</v>
      </c>
      <c r="C169" t="s">
        <v>362</v>
      </c>
      <c r="D169" t="s">
        <v>52</v>
      </c>
      <c r="E169" t="s">
        <v>27</v>
      </c>
      <c r="F169" t="s">
        <v>23</v>
      </c>
      <c r="G169" t="s">
        <v>24</v>
      </c>
      <c r="H169">
        <v>2</v>
      </c>
      <c r="I169">
        <v>1200</v>
      </c>
      <c r="J169">
        <v>2</v>
      </c>
      <c r="K169">
        <v>4</v>
      </c>
      <c r="L169" t="s">
        <v>28</v>
      </c>
    </row>
    <row r="170" spans="1:12">
      <c r="A170" t="s">
        <v>363</v>
      </c>
      <c r="B170" s="2">
        <v>45212</v>
      </c>
      <c r="C170" t="s">
        <v>364</v>
      </c>
      <c r="D170" t="s">
        <v>21</v>
      </c>
      <c r="E170" t="s">
        <v>27</v>
      </c>
      <c r="F170" t="s">
        <v>65</v>
      </c>
      <c r="G170" t="s">
        <v>17</v>
      </c>
      <c r="H170">
        <v>1</v>
      </c>
      <c r="I170">
        <v>500</v>
      </c>
      <c r="J170">
        <v>5</v>
      </c>
      <c r="K170">
        <v>1</v>
      </c>
      <c r="L170" t="s">
        <v>33</v>
      </c>
    </row>
    <row r="171" spans="1:12">
      <c r="A171" t="s">
        <v>365</v>
      </c>
      <c r="B171" s="2">
        <v>45257</v>
      </c>
      <c r="C171" t="s">
        <v>366</v>
      </c>
      <c r="D171" t="s">
        <v>52</v>
      </c>
      <c r="E171" t="s">
        <v>31</v>
      </c>
      <c r="F171" t="s">
        <v>32</v>
      </c>
      <c r="G171" t="s">
        <v>24</v>
      </c>
      <c r="H171">
        <v>3</v>
      </c>
      <c r="I171">
        <v>300</v>
      </c>
      <c r="J171">
        <v>4</v>
      </c>
      <c r="K171">
        <v>7</v>
      </c>
      <c r="L171" t="s">
        <v>33</v>
      </c>
    </row>
    <row r="172" spans="1:12">
      <c r="A172" t="s">
        <v>367</v>
      </c>
      <c r="B172" s="2">
        <v>45054</v>
      </c>
      <c r="C172" t="s">
        <v>368</v>
      </c>
      <c r="D172" t="s">
        <v>21</v>
      </c>
      <c r="E172" t="s">
        <v>27</v>
      </c>
      <c r="F172" t="s">
        <v>16</v>
      </c>
      <c r="G172" t="s">
        <v>24</v>
      </c>
      <c r="H172">
        <v>2</v>
      </c>
      <c r="I172">
        <v>800</v>
      </c>
      <c r="J172">
        <v>4</v>
      </c>
      <c r="K172">
        <v>3</v>
      </c>
      <c r="L172" t="s">
        <v>49</v>
      </c>
    </row>
    <row r="173" spans="1:12">
      <c r="A173" t="s">
        <v>369</v>
      </c>
      <c r="B173" s="2">
        <v>45274</v>
      </c>
      <c r="C173" t="s">
        <v>370</v>
      </c>
      <c r="D173" t="s">
        <v>14</v>
      </c>
      <c r="E173" t="s">
        <v>22</v>
      </c>
      <c r="F173" t="s">
        <v>23</v>
      </c>
      <c r="G173" t="s">
        <v>24</v>
      </c>
      <c r="H173">
        <v>1</v>
      </c>
      <c r="I173">
        <v>500</v>
      </c>
      <c r="J173">
        <v>1</v>
      </c>
      <c r="K173">
        <v>6</v>
      </c>
      <c r="L173" t="s">
        <v>28</v>
      </c>
    </row>
    <row r="174" spans="1:12">
      <c r="A174" t="s">
        <v>371</v>
      </c>
      <c r="B174" s="2">
        <v>45157</v>
      </c>
      <c r="C174" t="s">
        <v>372</v>
      </c>
      <c r="D174" t="s">
        <v>14</v>
      </c>
      <c r="E174" t="s">
        <v>27</v>
      </c>
      <c r="F174" t="s">
        <v>44</v>
      </c>
      <c r="G174" t="s">
        <v>17</v>
      </c>
      <c r="H174">
        <v>4</v>
      </c>
      <c r="I174">
        <v>1200</v>
      </c>
      <c r="J174">
        <v>3</v>
      </c>
      <c r="K174">
        <v>2</v>
      </c>
      <c r="L174" t="s">
        <v>18</v>
      </c>
    </row>
    <row r="175" spans="1:12">
      <c r="A175" t="s">
        <v>373</v>
      </c>
      <c r="B175" s="2">
        <v>45116</v>
      </c>
      <c r="C175" t="s">
        <v>374</v>
      </c>
      <c r="D175" t="s">
        <v>21</v>
      </c>
      <c r="E175" t="s">
        <v>15</v>
      </c>
      <c r="F175" t="s">
        <v>32</v>
      </c>
      <c r="G175" t="s">
        <v>17</v>
      </c>
      <c r="H175">
        <v>2</v>
      </c>
      <c r="I175">
        <v>150</v>
      </c>
      <c r="J175">
        <v>1</v>
      </c>
      <c r="K175">
        <v>9</v>
      </c>
      <c r="L175" t="s">
        <v>28</v>
      </c>
    </row>
    <row r="176" spans="1:12">
      <c r="A176" t="s">
        <v>375</v>
      </c>
      <c r="B176" s="2">
        <v>45151</v>
      </c>
      <c r="C176" t="s">
        <v>376</v>
      </c>
      <c r="D176" t="s">
        <v>14</v>
      </c>
      <c r="E176" t="s">
        <v>27</v>
      </c>
      <c r="F176" t="s">
        <v>23</v>
      </c>
      <c r="G176" t="s">
        <v>24</v>
      </c>
      <c r="H176">
        <v>3</v>
      </c>
      <c r="I176">
        <v>1200</v>
      </c>
      <c r="J176">
        <v>2</v>
      </c>
      <c r="K176">
        <v>1</v>
      </c>
      <c r="L176" t="s">
        <v>28</v>
      </c>
    </row>
    <row r="177" spans="1:12">
      <c r="A177" t="s">
        <v>377</v>
      </c>
      <c r="B177" s="2">
        <v>45209</v>
      </c>
      <c r="C177" t="s">
        <v>378</v>
      </c>
      <c r="D177" t="s">
        <v>21</v>
      </c>
      <c r="E177" t="s">
        <v>31</v>
      </c>
      <c r="F177" t="s">
        <v>65</v>
      </c>
      <c r="G177" t="s">
        <v>17</v>
      </c>
      <c r="H177">
        <v>4</v>
      </c>
      <c r="I177">
        <v>300</v>
      </c>
      <c r="J177">
        <v>3</v>
      </c>
      <c r="K177">
        <v>6</v>
      </c>
      <c r="L177" t="s">
        <v>28</v>
      </c>
    </row>
    <row r="178" spans="1:12">
      <c r="A178" t="s">
        <v>379</v>
      </c>
      <c r="B178" s="2">
        <v>45047</v>
      </c>
      <c r="C178" t="s">
        <v>380</v>
      </c>
      <c r="D178" t="s">
        <v>14</v>
      </c>
      <c r="E178" t="s">
        <v>15</v>
      </c>
      <c r="F178" t="s">
        <v>65</v>
      </c>
      <c r="G178" t="s">
        <v>24</v>
      </c>
      <c r="H178">
        <v>4</v>
      </c>
      <c r="I178">
        <v>800</v>
      </c>
      <c r="J178">
        <v>2</v>
      </c>
      <c r="K178">
        <v>6</v>
      </c>
      <c r="L178" t="s">
        <v>28</v>
      </c>
    </row>
    <row r="179" spans="1:12">
      <c r="A179" t="s">
        <v>381</v>
      </c>
      <c r="B179" s="2">
        <v>45042</v>
      </c>
      <c r="C179" t="s">
        <v>382</v>
      </c>
      <c r="D179" t="s">
        <v>52</v>
      </c>
      <c r="E179" t="s">
        <v>31</v>
      </c>
      <c r="F179" t="s">
        <v>65</v>
      </c>
      <c r="G179" t="s">
        <v>24</v>
      </c>
      <c r="H179">
        <v>1</v>
      </c>
      <c r="I179">
        <v>800</v>
      </c>
      <c r="J179">
        <v>5</v>
      </c>
      <c r="K179">
        <v>5</v>
      </c>
      <c r="L179" t="s">
        <v>28</v>
      </c>
    </row>
    <row r="180" spans="1:12">
      <c r="A180" t="s">
        <v>383</v>
      </c>
      <c r="B180" s="2">
        <v>45159</v>
      </c>
      <c r="C180" t="s">
        <v>384</v>
      </c>
      <c r="D180" t="s">
        <v>14</v>
      </c>
      <c r="E180" t="s">
        <v>31</v>
      </c>
      <c r="F180" t="s">
        <v>65</v>
      </c>
      <c r="G180" t="s">
        <v>24</v>
      </c>
      <c r="H180">
        <v>2</v>
      </c>
      <c r="I180">
        <v>300</v>
      </c>
      <c r="J180">
        <v>2</v>
      </c>
      <c r="K180">
        <v>5</v>
      </c>
      <c r="L180" t="s">
        <v>49</v>
      </c>
    </row>
    <row r="181" spans="1:12">
      <c r="A181" t="s">
        <v>385</v>
      </c>
      <c r="B181" s="2">
        <v>45185</v>
      </c>
      <c r="C181" t="s">
        <v>386</v>
      </c>
      <c r="D181" t="s">
        <v>52</v>
      </c>
      <c r="E181" t="s">
        <v>15</v>
      </c>
      <c r="F181" t="s">
        <v>44</v>
      </c>
      <c r="G181" t="s">
        <v>24</v>
      </c>
      <c r="H181">
        <v>4</v>
      </c>
      <c r="I181">
        <v>500</v>
      </c>
      <c r="J181">
        <v>5</v>
      </c>
      <c r="K181">
        <v>1</v>
      </c>
      <c r="L181" t="s">
        <v>49</v>
      </c>
    </row>
    <row r="182" spans="1:12">
      <c r="A182" t="s">
        <v>387</v>
      </c>
      <c r="B182" s="2">
        <v>45285</v>
      </c>
      <c r="C182" t="s">
        <v>388</v>
      </c>
      <c r="D182" t="s">
        <v>14</v>
      </c>
      <c r="E182" t="s">
        <v>31</v>
      </c>
      <c r="F182" t="s">
        <v>32</v>
      </c>
      <c r="G182" t="s">
        <v>24</v>
      </c>
      <c r="H182">
        <v>3</v>
      </c>
      <c r="I182">
        <v>500</v>
      </c>
      <c r="J182">
        <v>5</v>
      </c>
      <c r="K182">
        <v>5</v>
      </c>
      <c r="L182" t="s">
        <v>33</v>
      </c>
    </row>
    <row r="183" spans="1:12">
      <c r="A183" t="s">
        <v>389</v>
      </c>
      <c r="B183" s="2">
        <v>45124</v>
      </c>
      <c r="C183" t="s">
        <v>390</v>
      </c>
      <c r="D183" t="s">
        <v>52</v>
      </c>
      <c r="E183" t="s">
        <v>31</v>
      </c>
      <c r="F183" t="s">
        <v>16</v>
      </c>
      <c r="G183" t="s">
        <v>17</v>
      </c>
      <c r="H183">
        <v>2</v>
      </c>
      <c r="I183">
        <v>800</v>
      </c>
      <c r="J183">
        <v>2</v>
      </c>
      <c r="K183">
        <v>2</v>
      </c>
      <c r="L183" t="s">
        <v>49</v>
      </c>
    </row>
    <row r="184" spans="1:12">
      <c r="A184" t="s">
        <v>391</v>
      </c>
      <c r="B184" s="2">
        <v>45063</v>
      </c>
      <c r="C184" t="s">
        <v>392</v>
      </c>
      <c r="D184" t="s">
        <v>14</v>
      </c>
      <c r="E184" t="s">
        <v>27</v>
      </c>
      <c r="F184" t="s">
        <v>44</v>
      </c>
      <c r="G184" t="s">
        <v>24</v>
      </c>
      <c r="H184">
        <v>3</v>
      </c>
      <c r="I184">
        <v>800</v>
      </c>
      <c r="J184">
        <v>2</v>
      </c>
      <c r="K184">
        <v>7</v>
      </c>
      <c r="L184" t="s">
        <v>33</v>
      </c>
    </row>
    <row r="185" spans="1:12">
      <c r="A185" t="s">
        <v>393</v>
      </c>
      <c r="B185" s="2">
        <v>45244</v>
      </c>
      <c r="C185" t="s">
        <v>394</v>
      </c>
      <c r="D185" t="s">
        <v>52</v>
      </c>
      <c r="E185" t="s">
        <v>22</v>
      </c>
      <c r="F185" t="s">
        <v>44</v>
      </c>
      <c r="G185" t="s">
        <v>17</v>
      </c>
      <c r="H185">
        <v>4</v>
      </c>
      <c r="I185">
        <v>150</v>
      </c>
      <c r="J185">
        <v>5</v>
      </c>
      <c r="K185">
        <v>3</v>
      </c>
      <c r="L185" t="s">
        <v>33</v>
      </c>
    </row>
    <row r="186" spans="1:12">
      <c r="A186" t="s">
        <v>395</v>
      </c>
      <c r="B186" s="2">
        <v>45091</v>
      </c>
      <c r="C186" t="s">
        <v>396</v>
      </c>
      <c r="D186" t="s">
        <v>21</v>
      </c>
      <c r="E186" t="s">
        <v>31</v>
      </c>
      <c r="F186" t="s">
        <v>16</v>
      </c>
      <c r="G186" t="s">
        <v>17</v>
      </c>
      <c r="H186">
        <v>3</v>
      </c>
      <c r="I186">
        <v>500</v>
      </c>
      <c r="J186">
        <v>3</v>
      </c>
      <c r="K186">
        <v>4</v>
      </c>
      <c r="L186" t="s">
        <v>18</v>
      </c>
    </row>
    <row r="187" spans="1:12">
      <c r="A187" t="s">
        <v>397</v>
      </c>
      <c r="B187" s="2">
        <v>45151</v>
      </c>
      <c r="C187" t="s">
        <v>398</v>
      </c>
      <c r="D187" t="s">
        <v>21</v>
      </c>
      <c r="E187" t="s">
        <v>31</v>
      </c>
      <c r="F187" t="s">
        <v>16</v>
      </c>
      <c r="G187" t="s">
        <v>24</v>
      </c>
      <c r="H187">
        <v>1</v>
      </c>
      <c r="I187">
        <v>300</v>
      </c>
      <c r="J187">
        <v>5</v>
      </c>
      <c r="K187">
        <v>3</v>
      </c>
      <c r="L187" t="s">
        <v>28</v>
      </c>
    </row>
    <row r="188" spans="1:12">
      <c r="A188" t="s">
        <v>399</v>
      </c>
      <c r="B188" s="2">
        <v>45233</v>
      </c>
      <c r="C188" t="s">
        <v>400</v>
      </c>
      <c r="D188" t="s">
        <v>52</v>
      </c>
      <c r="E188" t="s">
        <v>31</v>
      </c>
      <c r="F188" t="s">
        <v>65</v>
      </c>
      <c r="G188" t="s">
        <v>24</v>
      </c>
      <c r="H188">
        <v>3</v>
      </c>
      <c r="I188">
        <v>500</v>
      </c>
      <c r="J188">
        <v>4</v>
      </c>
      <c r="K188">
        <v>3</v>
      </c>
      <c r="L188" t="s">
        <v>49</v>
      </c>
    </row>
    <row r="189" spans="1:12">
      <c r="A189" t="s">
        <v>401</v>
      </c>
      <c r="B189" s="2">
        <v>45160</v>
      </c>
      <c r="C189" t="s">
        <v>402</v>
      </c>
      <c r="D189" t="s">
        <v>14</v>
      </c>
      <c r="E189" t="s">
        <v>27</v>
      </c>
      <c r="F189" t="s">
        <v>44</v>
      </c>
      <c r="G189" t="s">
        <v>17</v>
      </c>
      <c r="H189">
        <v>2</v>
      </c>
      <c r="I189">
        <v>150</v>
      </c>
      <c r="J189">
        <v>5</v>
      </c>
      <c r="K189">
        <v>4</v>
      </c>
      <c r="L189" t="s">
        <v>18</v>
      </c>
    </row>
    <row r="190" spans="1:12">
      <c r="A190" t="s">
        <v>403</v>
      </c>
      <c r="B190" s="2">
        <v>45098</v>
      </c>
      <c r="C190" t="s">
        <v>404</v>
      </c>
      <c r="D190" t="s">
        <v>52</v>
      </c>
      <c r="E190" t="s">
        <v>22</v>
      </c>
      <c r="F190" t="s">
        <v>23</v>
      </c>
      <c r="G190" t="s">
        <v>17</v>
      </c>
      <c r="H190">
        <v>3</v>
      </c>
      <c r="I190">
        <v>800</v>
      </c>
      <c r="J190">
        <v>3</v>
      </c>
      <c r="K190">
        <v>5</v>
      </c>
      <c r="L190" t="s">
        <v>49</v>
      </c>
    </row>
    <row r="191" spans="1:12">
      <c r="A191" t="s">
        <v>405</v>
      </c>
      <c r="B191" s="2">
        <v>45078</v>
      </c>
      <c r="C191" t="s">
        <v>406</v>
      </c>
      <c r="D191" t="s">
        <v>14</v>
      </c>
      <c r="E191" t="s">
        <v>15</v>
      </c>
      <c r="F191" t="s">
        <v>16</v>
      </c>
      <c r="G191" t="s">
        <v>17</v>
      </c>
      <c r="H191">
        <v>3</v>
      </c>
      <c r="I191">
        <v>800</v>
      </c>
      <c r="J191">
        <v>4</v>
      </c>
      <c r="K191">
        <v>1</v>
      </c>
      <c r="L191" t="s">
        <v>33</v>
      </c>
    </row>
    <row r="192" spans="1:12">
      <c r="A192" t="s">
        <v>407</v>
      </c>
      <c r="B192" s="2">
        <v>45241</v>
      </c>
      <c r="C192" t="s">
        <v>408</v>
      </c>
      <c r="D192" t="s">
        <v>21</v>
      </c>
      <c r="E192" t="s">
        <v>27</v>
      </c>
      <c r="F192" t="s">
        <v>16</v>
      </c>
      <c r="G192" t="s">
        <v>24</v>
      </c>
      <c r="H192">
        <v>1</v>
      </c>
      <c r="I192">
        <v>150</v>
      </c>
      <c r="J192">
        <v>1</v>
      </c>
      <c r="K192">
        <v>4</v>
      </c>
      <c r="L192" t="s">
        <v>49</v>
      </c>
    </row>
    <row r="193" spans="1:12">
      <c r="A193" t="s">
        <v>409</v>
      </c>
      <c r="B193" s="2">
        <v>45086</v>
      </c>
      <c r="C193" t="s">
        <v>410</v>
      </c>
      <c r="D193" t="s">
        <v>14</v>
      </c>
      <c r="E193" t="s">
        <v>27</v>
      </c>
      <c r="F193" t="s">
        <v>32</v>
      </c>
      <c r="G193" t="s">
        <v>17</v>
      </c>
      <c r="H193">
        <v>3</v>
      </c>
      <c r="I193">
        <v>300</v>
      </c>
      <c r="J193">
        <v>1</v>
      </c>
      <c r="K193">
        <v>8</v>
      </c>
      <c r="L193" t="s">
        <v>28</v>
      </c>
    </row>
    <row r="194" spans="1:12">
      <c r="A194" t="s">
        <v>411</v>
      </c>
      <c r="B194" s="2">
        <v>45022</v>
      </c>
      <c r="C194" t="s">
        <v>412</v>
      </c>
      <c r="D194" t="s">
        <v>21</v>
      </c>
      <c r="E194" t="s">
        <v>22</v>
      </c>
      <c r="F194" t="s">
        <v>23</v>
      </c>
      <c r="G194" t="s">
        <v>24</v>
      </c>
      <c r="H194">
        <v>3</v>
      </c>
      <c r="I194">
        <v>800</v>
      </c>
      <c r="J194">
        <v>3</v>
      </c>
      <c r="K194">
        <v>7</v>
      </c>
      <c r="L194" t="s">
        <v>33</v>
      </c>
    </row>
    <row r="195" spans="1:12">
      <c r="A195" t="s">
        <v>413</v>
      </c>
      <c r="B195" s="2">
        <v>45159</v>
      </c>
      <c r="C195" t="s">
        <v>414</v>
      </c>
      <c r="D195" t="s">
        <v>14</v>
      </c>
      <c r="E195" t="s">
        <v>22</v>
      </c>
      <c r="F195" t="s">
        <v>23</v>
      </c>
      <c r="G195" t="s">
        <v>24</v>
      </c>
      <c r="H195">
        <v>4</v>
      </c>
      <c r="I195">
        <v>1200</v>
      </c>
      <c r="J195">
        <v>5</v>
      </c>
      <c r="K195">
        <v>9</v>
      </c>
      <c r="L195" t="s">
        <v>33</v>
      </c>
    </row>
    <row r="196" spans="1:12">
      <c r="A196" t="s">
        <v>415</v>
      </c>
      <c r="B196" s="2">
        <v>45106</v>
      </c>
      <c r="C196" t="s">
        <v>416</v>
      </c>
      <c r="D196" t="s">
        <v>14</v>
      </c>
      <c r="E196" t="s">
        <v>27</v>
      </c>
      <c r="F196" t="s">
        <v>16</v>
      </c>
      <c r="G196" t="s">
        <v>24</v>
      </c>
      <c r="H196">
        <v>4</v>
      </c>
      <c r="I196">
        <v>800</v>
      </c>
      <c r="J196">
        <v>2</v>
      </c>
      <c r="K196">
        <v>5</v>
      </c>
      <c r="L196" t="s">
        <v>18</v>
      </c>
    </row>
    <row r="197" spans="1:12">
      <c r="A197" t="s">
        <v>417</v>
      </c>
      <c r="B197" s="2">
        <v>45039</v>
      </c>
      <c r="C197" t="s">
        <v>418</v>
      </c>
      <c r="D197" t="s">
        <v>14</v>
      </c>
      <c r="E197" t="s">
        <v>15</v>
      </c>
      <c r="F197" t="s">
        <v>65</v>
      </c>
      <c r="G197" t="s">
        <v>17</v>
      </c>
      <c r="H197">
        <v>2</v>
      </c>
      <c r="I197">
        <v>1200</v>
      </c>
      <c r="J197">
        <v>3</v>
      </c>
      <c r="K197">
        <v>4</v>
      </c>
      <c r="L197" t="s">
        <v>28</v>
      </c>
    </row>
    <row r="198" spans="1:12">
      <c r="A198" t="s">
        <v>419</v>
      </c>
      <c r="B198" s="2">
        <v>45244</v>
      </c>
      <c r="C198" t="s">
        <v>420</v>
      </c>
      <c r="D198" t="s">
        <v>52</v>
      </c>
      <c r="E198" t="s">
        <v>27</v>
      </c>
      <c r="F198" t="s">
        <v>32</v>
      </c>
      <c r="G198" t="s">
        <v>24</v>
      </c>
      <c r="H198">
        <v>4</v>
      </c>
      <c r="I198">
        <v>150</v>
      </c>
      <c r="J198">
        <v>4</v>
      </c>
      <c r="K198">
        <v>8</v>
      </c>
      <c r="L198" t="s">
        <v>33</v>
      </c>
    </row>
    <row r="199" spans="1:12">
      <c r="A199" t="s">
        <v>421</v>
      </c>
      <c r="B199" s="2">
        <v>44978</v>
      </c>
      <c r="C199" t="s">
        <v>422</v>
      </c>
      <c r="D199" t="s">
        <v>52</v>
      </c>
      <c r="E199" t="s">
        <v>22</v>
      </c>
      <c r="F199" t="s">
        <v>23</v>
      </c>
      <c r="G199" t="s">
        <v>24</v>
      </c>
      <c r="H199">
        <v>4</v>
      </c>
      <c r="I199">
        <v>150</v>
      </c>
      <c r="J199">
        <v>4</v>
      </c>
      <c r="K199">
        <v>9</v>
      </c>
      <c r="L199" t="s">
        <v>28</v>
      </c>
    </row>
    <row r="200" spans="1:12">
      <c r="A200" t="s">
        <v>423</v>
      </c>
      <c r="B200" s="2">
        <v>45194</v>
      </c>
      <c r="C200" t="s">
        <v>424</v>
      </c>
      <c r="D200" t="s">
        <v>21</v>
      </c>
      <c r="E200" t="s">
        <v>15</v>
      </c>
      <c r="F200" t="s">
        <v>16</v>
      </c>
      <c r="G200" t="s">
        <v>24</v>
      </c>
      <c r="H200">
        <v>4</v>
      </c>
      <c r="I200">
        <v>800</v>
      </c>
      <c r="J200">
        <v>1</v>
      </c>
      <c r="K200">
        <v>7</v>
      </c>
      <c r="L200" t="s">
        <v>49</v>
      </c>
    </row>
    <row r="201" spans="1:12">
      <c r="A201" t="s">
        <v>425</v>
      </c>
      <c r="B201" s="2">
        <v>45221</v>
      </c>
      <c r="C201" t="s">
        <v>426</v>
      </c>
      <c r="D201" t="s">
        <v>21</v>
      </c>
      <c r="E201" t="s">
        <v>22</v>
      </c>
      <c r="F201" t="s">
        <v>23</v>
      </c>
      <c r="G201" t="s">
        <v>24</v>
      </c>
      <c r="H201">
        <v>4</v>
      </c>
      <c r="I201">
        <v>500</v>
      </c>
      <c r="J201">
        <v>4</v>
      </c>
      <c r="K201">
        <v>7</v>
      </c>
      <c r="L201" t="s">
        <v>28</v>
      </c>
    </row>
    <row r="202" spans="1:12">
      <c r="A202" t="s">
        <v>427</v>
      </c>
      <c r="B202" s="2">
        <v>45039</v>
      </c>
      <c r="C202" t="s">
        <v>428</v>
      </c>
      <c r="D202" t="s">
        <v>52</v>
      </c>
      <c r="E202" t="s">
        <v>15</v>
      </c>
      <c r="F202" t="s">
        <v>32</v>
      </c>
      <c r="G202" t="s">
        <v>24</v>
      </c>
      <c r="H202">
        <v>1</v>
      </c>
      <c r="I202">
        <v>1200</v>
      </c>
      <c r="J202">
        <v>3</v>
      </c>
      <c r="K202">
        <v>5</v>
      </c>
      <c r="L202" t="s">
        <v>33</v>
      </c>
    </row>
    <row r="203" spans="1:12">
      <c r="A203" t="s">
        <v>429</v>
      </c>
      <c r="B203" s="2">
        <v>45027</v>
      </c>
      <c r="C203" t="s">
        <v>430</v>
      </c>
      <c r="D203" t="s">
        <v>21</v>
      </c>
      <c r="E203" t="s">
        <v>31</v>
      </c>
      <c r="F203" t="s">
        <v>32</v>
      </c>
      <c r="G203" t="s">
        <v>17</v>
      </c>
      <c r="H203">
        <v>4</v>
      </c>
      <c r="I203">
        <v>300</v>
      </c>
      <c r="J203">
        <v>4</v>
      </c>
      <c r="K203">
        <v>4</v>
      </c>
      <c r="L203" t="s">
        <v>18</v>
      </c>
    </row>
    <row r="204" spans="1:12">
      <c r="A204" t="s">
        <v>431</v>
      </c>
      <c r="B204" s="2">
        <v>45039</v>
      </c>
      <c r="C204" t="s">
        <v>432</v>
      </c>
      <c r="D204" t="s">
        <v>52</v>
      </c>
      <c r="E204" t="s">
        <v>22</v>
      </c>
      <c r="F204" t="s">
        <v>44</v>
      </c>
      <c r="G204" t="s">
        <v>24</v>
      </c>
      <c r="H204">
        <v>1</v>
      </c>
      <c r="I204">
        <v>800</v>
      </c>
      <c r="J204">
        <v>3</v>
      </c>
      <c r="K204">
        <v>1</v>
      </c>
      <c r="L204" t="s">
        <v>33</v>
      </c>
    </row>
    <row r="205" spans="1:12">
      <c r="A205" t="s">
        <v>433</v>
      </c>
      <c r="B205" s="2">
        <v>45007</v>
      </c>
      <c r="C205" t="s">
        <v>238</v>
      </c>
      <c r="D205" t="s">
        <v>14</v>
      </c>
      <c r="E205" t="s">
        <v>22</v>
      </c>
      <c r="F205" t="s">
        <v>16</v>
      </c>
      <c r="G205" t="s">
        <v>24</v>
      </c>
      <c r="H205">
        <v>1</v>
      </c>
      <c r="I205">
        <v>300</v>
      </c>
      <c r="J205">
        <v>2</v>
      </c>
      <c r="K205">
        <v>7</v>
      </c>
      <c r="L205" t="s">
        <v>28</v>
      </c>
    </row>
    <row r="206" spans="1:12">
      <c r="A206" t="s">
        <v>434</v>
      </c>
      <c r="B206" s="2">
        <v>45113</v>
      </c>
      <c r="C206" t="s">
        <v>435</v>
      </c>
      <c r="D206" t="s">
        <v>21</v>
      </c>
      <c r="E206" t="s">
        <v>27</v>
      </c>
      <c r="F206" t="s">
        <v>32</v>
      </c>
      <c r="G206" t="s">
        <v>17</v>
      </c>
      <c r="H206">
        <v>4</v>
      </c>
      <c r="I206">
        <v>800</v>
      </c>
      <c r="J206">
        <v>1</v>
      </c>
      <c r="K206">
        <v>1</v>
      </c>
      <c r="L206" t="s">
        <v>28</v>
      </c>
    </row>
    <row r="207" spans="1:12">
      <c r="A207" t="s">
        <v>436</v>
      </c>
      <c r="B207" s="2">
        <v>45039</v>
      </c>
      <c r="C207" t="s">
        <v>39</v>
      </c>
      <c r="D207" t="s">
        <v>21</v>
      </c>
      <c r="E207" t="s">
        <v>22</v>
      </c>
      <c r="F207" t="s">
        <v>44</v>
      </c>
      <c r="G207" t="s">
        <v>24</v>
      </c>
      <c r="H207">
        <v>3</v>
      </c>
      <c r="I207">
        <v>500</v>
      </c>
      <c r="J207">
        <v>4</v>
      </c>
      <c r="K207">
        <v>1</v>
      </c>
      <c r="L207" t="s">
        <v>33</v>
      </c>
    </row>
    <row r="208" spans="1:12">
      <c r="A208" t="s">
        <v>437</v>
      </c>
      <c r="B208" s="2">
        <v>44928</v>
      </c>
      <c r="C208" t="s">
        <v>438</v>
      </c>
      <c r="D208" t="s">
        <v>52</v>
      </c>
      <c r="E208" t="s">
        <v>22</v>
      </c>
      <c r="F208" t="s">
        <v>44</v>
      </c>
      <c r="G208" t="s">
        <v>17</v>
      </c>
      <c r="H208">
        <v>1</v>
      </c>
      <c r="I208">
        <v>500</v>
      </c>
      <c r="J208">
        <v>3</v>
      </c>
      <c r="K208">
        <v>5</v>
      </c>
      <c r="L208" t="s">
        <v>28</v>
      </c>
    </row>
    <row r="209" spans="1:12">
      <c r="A209" t="s">
        <v>439</v>
      </c>
      <c r="B209" s="2">
        <v>45056</v>
      </c>
      <c r="C209" t="s">
        <v>178</v>
      </c>
      <c r="D209" t="s">
        <v>21</v>
      </c>
      <c r="E209" t="s">
        <v>31</v>
      </c>
      <c r="F209" t="s">
        <v>23</v>
      </c>
      <c r="G209" t="s">
        <v>24</v>
      </c>
      <c r="H209">
        <v>3</v>
      </c>
      <c r="I209">
        <v>500</v>
      </c>
      <c r="J209">
        <v>5</v>
      </c>
      <c r="K209">
        <v>9</v>
      </c>
      <c r="L209" t="s">
        <v>49</v>
      </c>
    </row>
    <row r="210" spans="1:12">
      <c r="A210" t="s">
        <v>440</v>
      </c>
      <c r="B210" s="2">
        <v>45146</v>
      </c>
      <c r="C210" t="s">
        <v>251</v>
      </c>
      <c r="D210" t="s">
        <v>21</v>
      </c>
      <c r="E210" t="s">
        <v>22</v>
      </c>
      <c r="F210" t="s">
        <v>23</v>
      </c>
      <c r="G210" t="s">
        <v>17</v>
      </c>
      <c r="H210">
        <v>3</v>
      </c>
      <c r="I210">
        <v>500</v>
      </c>
      <c r="J210">
        <v>1</v>
      </c>
      <c r="K210">
        <v>6</v>
      </c>
      <c r="L210" t="s">
        <v>33</v>
      </c>
    </row>
    <row r="211" spans="1:12">
      <c r="A211" t="s">
        <v>441</v>
      </c>
      <c r="B211" s="2">
        <v>44980</v>
      </c>
      <c r="C211" t="s">
        <v>442</v>
      </c>
      <c r="D211" t="s">
        <v>14</v>
      </c>
      <c r="E211" t="s">
        <v>31</v>
      </c>
      <c r="F211" t="s">
        <v>44</v>
      </c>
      <c r="G211" t="s">
        <v>17</v>
      </c>
      <c r="H211">
        <v>4</v>
      </c>
      <c r="I211">
        <v>150</v>
      </c>
      <c r="J211">
        <v>2</v>
      </c>
      <c r="K211">
        <v>3</v>
      </c>
      <c r="L211" t="s">
        <v>18</v>
      </c>
    </row>
    <row r="212" spans="1:12">
      <c r="A212" t="s">
        <v>443</v>
      </c>
      <c r="B212" s="2">
        <v>45269</v>
      </c>
      <c r="C212" t="s">
        <v>444</v>
      </c>
      <c r="D212" t="s">
        <v>21</v>
      </c>
      <c r="E212" t="s">
        <v>31</v>
      </c>
      <c r="F212" t="s">
        <v>23</v>
      </c>
      <c r="G212" t="s">
        <v>24</v>
      </c>
      <c r="H212">
        <v>2</v>
      </c>
      <c r="I212">
        <v>150</v>
      </c>
      <c r="J212">
        <v>3</v>
      </c>
      <c r="K212">
        <v>3</v>
      </c>
      <c r="L212" t="s">
        <v>33</v>
      </c>
    </row>
    <row r="213" spans="1:12">
      <c r="A213" t="s">
        <v>445</v>
      </c>
      <c r="B213" s="2">
        <v>45150</v>
      </c>
      <c r="C213" t="s">
        <v>446</v>
      </c>
      <c r="D213" t="s">
        <v>14</v>
      </c>
      <c r="E213" t="s">
        <v>31</v>
      </c>
      <c r="F213" t="s">
        <v>32</v>
      </c>
      <c r="G213" t="s">
        <v>24</v>
      </c>
      <c r="H213">
        <v>4</v>
      </c>
      <c r="I213">
        <v>1200</v>
      </c>
      <c r="J213">
        <v>2</v>
      </c>
      <c r="K213">
        <v>7</v>
      </c>
      <c r="L213" t="s">
        <v>49</v>
      </c>
    </row>
    <row r="214" spans="1:12">
      <c r="A214" t="s">
        <v>447</v>
      </c>
      <c r="B214" s="2">
        <v>45151</v>
      </c>
      <c r="C214" t="s">
        <v>448</v>
      </c>
      <c r="D214" t="s">
        <v>52</v>
      </c>
      <c r="E214" t="s">
        <v>31</v>
      </c>
      <c r="F214" t="s">
        <v>65</v>
      </c>
      <c r="G214" t="s">
        <v>24</v>
      </c>
      <c r="H214">
        <v>2</v>
      </c>
      <c r="I214">
        <v>300</v>
      </c>
      <c r="J214">
        <v>2</v>
      </c>
      <c r="K214">
        <v>6</v>
      </c>
      <c r="L214" t="s">
        <v>49</v>
      </c>
    </row>
    <row r="215" spans="1:12">
      <c r="A215" t="s">
        <v>449</v>
      </c>
      <c r="B215" s="2">
        <v>45052</v>
      </c>
      <c r="C215" t="s">
        <v>450</v>
      </c>
      <c r="D215" t="s">
        <v>21</v>
      </c>
      <c r="E215" t="s">
        <v>15</v>
      </c>
      <c r="F215" t="s">
        <v>32</v>
      </c>
      <c r="G215" t="s">
        <v>17</v>
      </c>
      <c r="H215">
        <v>2</v>
      </c>
      <c r="I215">
        <v>800</v>
      </c>
      <c r="J215">
        <v>4</v>
      </c>
      <c r="K215">
        <v>9</v>
      </c>
      <c r="L215" t="s">
        <v>49</v>
      </c>
    </row>
    <row r="216" spans="1:12">
      <c r="A216" t="s">
        <v>451</v>
      </c>
      <c r="B216" s="2">
        <v>45056</v>
      </c>
      <c r="C216" t="s">
        <v>452</v>
      </c>
      <c r="D216" t="s">
        <v>14</v>
      </c>
      <c r="E216" t="s">
        <v>27</v>
      </c>
      <c r="F216" t="s">
        <v>44</v>
      </c>
      <c r="G216" t="s">
        <v>17</v>
      </c>
      <c r="H216">
        <v>4</v>
      </c>
      <c r="I216">
        <v>800</v>
      </c>
      <c r="J216">
        <v>4</v>
      </c>
      <c r="K216">
        <v>6</v>
      </c>
      <c r="L216" t="s">
        <v>49</v>
      </c>
    </row>
    <row r="217" spans="1:12">
      <c r="A217" t="s">
        <v>453</v>
      </c>
      <c r="B217" s="2">
        <v>44979</v>
      </c>
      <c r="C217" t="s">
        <v>454</v>
      </c>
      <c r="D217" t="s">
        <v>52</v>
      </c>
      <c r="E217" t="s">
        <v>15</v>
      </c>
      <c r="F217" t="s">
        <v>44</v>
      </c>
      <c r="G217" t="s">
        <v>17</v>
      </c>
      <c r="H217">
        <v>4</v>
      </c>
      <c r="I217">
        <v>150</v>
      </c>
      <c r="J217">
        <v>3</v>
      </c>
      <c r="K217">
        <v>5</v>
      </c>
      <c r="L217" t="s">
        <v>49</v>
      </c>
    </row>
    <row r="218" spans="1:12">
      <c r="A218" t="s">
        <v>455</v>
      </c>
      <c r="B218" s="2">
        <v>45098</v>
      </c>
      <c r="C218" t="s">
        <v>456</v>
      </c>
      <c r="D218" t="s">
        <v>21</v>
      </c>
      <c r="E218" t="s">
        <v>22</v>
      </c>
      <c r="F218" t="s">
        <v>32</v>
      </c>
      <c r="G218" t="s">
        <v>24</v>
      </c>
      <c r="H218">
        <v>2</v>
      </c>
      <c r="I218">
        <v>800</v>
      </c>
      <c r="J218">
        <v>5</v>
      </c>
      <c r="K218">
        <v>7</v>
      </c>
      <c r="L218" t="s">
        <v>18</v>
      </c>
    </row>
    <row r="219" spans="1:12">
      <c r="A219" t="s">
        <v>457</v>
      </c>
      <c r="B219" s="2">
        <v>45144</v>
      </c>
      <c r="C219" t="s">
        <v>188</v>
      </c>
      <c r="D219" t="s">
        <v>52</v>
      </c>
      <c r="E219" t="s">
        <v>15</v>
      </c>
      <c r="F219" t="s">
        <v>23</v>
      </c>
      <c r="G219" t="s">
        <v>17</v>
      </c>
      <c r="H219">
        <v>4</v>
      </c>
      <c r="I219">
        <v>150</v>
      </c>
      <c r="J219">
        <v>3</v>
      </c>
      <c r="K219">
        <v>1</v>
      </c>
      <c r="L219" t="s">
        <v>28</v>
      </c>
    </row>
    <row r="220" spans="1:12">
      <c r="A220" t="s">
        <v>458</v>
      </c>
      <c r="B220" s="2">
        <v>45086</v>
      </c>
      <c r="C220" t="s">
        <v>459</v>
      </c>
      <c r="D220" t="s">
        <v>21</v>
      </c>
      <c r="E220" t="s">
        <v>15</v>
      </c>
      <c r="F220" t="s">
        <v>23</v>
      </c>
      <c r="G220" t="s">
        <v>17</v>
      </c>
      <c r="H220">
        <v>2</v>
      </c>
      <c r="I220">
        <v>1200</v>
      </c>
      <c r="J220">
        <v>5</v>
      </c>
      <c r="K220">
        <v>7</v>
      </c>
      <c r="L220" t="s">
        <v>49</v>
      </c>
    </row>
    <row r="221" spans="1:12">
      <c r="A221" t="s">
        <v>460</v>
      </c>
      <c r="B221" s="2">
        <v>45124</v>
      </c>
      <c r="C221" t="s">
        <v>461</v>
      </c>
      <c r="D221" t="s">
        <v>52</v>
      </c>
      <c r="E221" t="s">
        <v>22</v>
      </c>
      <c r="F221" t="s">
        <v>44</v>
      </c>
      <c r="G221" t="s">
        <v>24</v>
      </c>
      <c r="H221">
        <v>3</v>
      </c>
      <c r="I221">
        <v>300</v>
      </c>
      <c r="J221">
        <v>2</v>
      </c>
      <c r="K221">
        <v>3</v>
      </c>
      <c r="L221" t="s">
        <v>49</v>
      </c>
    </row>
    <row r="222" spans="1:12">
      <c r="A222" t="s">
        <v>462</v>
      </c>
      <c r="B222" s="2">
        <v>45173</v>
      </c>
      <c r="C222" t="s">
        <v>463</v>
      </c>
      <c r="D222" t="s">
        <v>52</v>
      </c>
      <c r="E222" t="s">
        <v>22</v>
      </c>
      <c r="F222" t="s">
        <v>16</v>
      </c>
      <c r="G222" t="s">
        <v>17</v>
      </c>
      <c r="H222">
        <v>4</v>
      </c>
      <c r="I222">
        <v>1200</v>
      </c>
      <c r="J222">
        <v>1</v>
      </c>
      <c r="K222">
        <v>9</v>
      </c>
      <c r="L222" t="s">
        <v>33</v>
      </c>
    </row>
    <row r="223" spans="1:12">
      <c r="A223" t="s">
        <v>464</v>
      </c>
      <c r="B223" s="2">
        <v>45250</v>
      </c>
      <c r="C223" t="s">
        <v>465</v>
      </c>
      <c r="D223" t="s">
        <v>14</v>
      </c>
      <c r="E223" t="s">
        <v>22</v>
      </c>
      <c r="F223" t="s">
        <v>23</v>
      </c>
      <c r="G223" t="s">
        <v>17</v>
      </c>
      <c r="H223">
        <v>3</v>
      </c>
      <c r="I223">
        <v>500</v>
      </c>
      <c r="J223">
        <v>3</v>
      </c>
      <c r="K223">
        <v>6</v>
      </c>
      <c r="L223" t="s">
        <v>18</v>
      </c>
    </row>
    <row r="224" spans="1:12">
      <c r="A224" t="s">
        <v>466</v>
      </c>
      <c r="B224" s="2">
        <v>45129</v>
      </c>
      <c r="C224" t="s">
        <v>467</v>
      </c>
      <c r="D224" t="s">
        <v>52</v>
      </c>
      <c r="E224" t="s">
        <v>15</v>
      </c>
      <c r="F224" t="s">
        <v>32</v>
      </c>
      <c r="G224" t="s">
        <v>24</v>
      </c>
      <c r="H224">
        <v>1</v>
      </c>
      <c r="I224">
        <v>500</v>
      </c>
      <c r="J224">
        <v>3</v>
      </c>
      <c r="K224">
        <v>9</v>
      </c>
      <c r="L224" t="s">
        <v>18</v>
      </c>
    </row>
    <row r="225" spans="1:12">
      <c r="A225" t="s">
        <v>468</v>
      </c>
      <c r="B225" s="2">
        <v>45110</v>
      </c>
      <c r="C225" t="s">
        <v>469</v>
      </c>
      <c r="D225" t="s">
        <v>21</v>
      </c>
      <c r="E225" t="s">
        <v>15</v>
      </c>
      <c r="F225" t="s">
        <v>23</v>
      </c>
      <c r="G225" t="s">
        <v>17</v>
      </c>
      <c r="H225">
        <v>3</v>
      </c>
      <c r="I225">
        <v>500</v>
      </c>
      <c r="J225">
        <v>5</v>
      </c>
      <c r="K225">
        <v>5</v>
      </c>
      <c r="L225" t="s">
        <v>28</v>
      </c>
    </row>
    <row r="226" spans="1:12">
      <c r="A226" t="s">
        <v>470</v>
      </c>
      <c r="B226" s="2">
        <v>45049</v>
      </c>
      <c r="C226" t="s">
        <v>471</v>
      </c>
      <c r="D226" t="s">
        <v>21</v>
      </c>
      <c r="E226" t="s">
        <v>22</v>
      </c>
      <c r="F226" t="s">
        <v>32</v>
      </c>
      <c r="G226" t="s">
        <v>24</v>
      </c>
      <c r="H226">
        <v>3</v>
      </c>
      <c r="I226">
        <v>1200</v>
      </c>
      <c r="J226">
        <v>2</v>
      </c>
      <c r="K226">
        <v>7</v>
      </c>
      <c r="L226" t="s">
        <v>18</v>
      </c>
    </row>
    <row r="227" spans="1:12">
      <c r="A227" t="s">
        <v>472</v>
      </c>
      <c r="B227" s="2">
        <v>45181</v>
      </c>
      <c r="C227" t="s">
        <v>473</v>
      </c>
      <c r="D227" t="s">
        <v>14</v>
      </c>
      <c r="E227" t="s">
        <v>27</v>
      </c>
      <c r="F227" t="s">
        <v>44</v>
      </c>
      <c r="G227" t="s">
        <v>24</v>
      </c>
      <c r="H227">
        <v>2</v>
      </c>
      <c r="I227">
        <v>800</v>
      </c>
      <c r="J227">
        <v>2</v>
      </c>
      <c r="K227">
        <v>4</v>
      </c>
      <c r="L227" t="s">
        <v>33</v>
      </c>
    </row>
    <row r="228" spans="1:12">
      <c r="A228" t="s">
        <v>474</v>
      </c>
      <c r="B228" s="2">
        <v>45220</v>
      </c>
      <c r="C228" t="s">
        <v>475</v>
      </c>
      <c r="D228" t="s">
        <v>21</v>
      </c>
      <c r="E228" t="s">
        <v>27</v>
      </c>
      <c r="F228" t="s">
        <v>23</v>
      </c>
      <c r="G228" t="s">
        <v>24</v>
      </c>
      <c r="H228">
        <v>3</v>
      </c>
      <c r="I228">
        <v>300</v>
      </c>
      <c r="J228">
        <v>5</v>
      </c>
      <c r="K228">
        <v>7</v>
      </c>
      <c r="L228" t="s">
        <v>33</v>
      </c>
    </row>
    <row r="229" spans="1:12">
      <c r="A229" t="s">
        <v>476</v>
      </c>
      <c r="B229" s="2">
        <v>45206</v>
      </c>
      <c r="C229" t="s">
        <v>477</v>
      </c>
      <c r="D229" t="s">
        <v>21</v>
      </c>
      <c r="E229" t="s">
        <v>31</v>
      </c>
      <c r="F229" t="s">
        <v>32</v>
      </c>
      <c r="G229" t="s">
        <v>24</v>
      </c>
      <c r="H229">
        <v>4</v>
      </c>
      <c r="I229">
        <v>500</v>
      </c>
      <c r="J229">
        <v>2</v>
      </c>
      <c r="K229">
        <v>1</v>
      </c>
      <c r="L229" t="s">
        <v>28</v>
      </c>
    </row>
    <row r="230" spans="1:12">
      <c r="A230" t="s">
        <v>478</v>
      </c>
      <c r="B230" s="2">
        <v>45251</v>
      </c>
      <c r="C230" t="s">
        <v>479</v>
      </c>
      <c r="D230" t="s">
        <v>21</v>
      </c>
      <c r="E230" t="s">
        <v>22</v>
      </c>
      <c r="F230" t="s">
        <v>44</v>
      </c>
      <c r="G230" t="s">
        <v>24</v>
      </c>
      <c r="H230">
        <v>2</v>
      </c>
      <c r="I230">
        <v>500</v>
      </c>
      <c r="J230">
        <v>4</v>
      </c>
      <c r="K230">
        <v>7</v>
      </c>
      <c r="L230" t="s">
        <v>33</v>
      </c>
    </row>
    <row r="231" spans="1:12">
      <c r="A231" t="s">
        <v>480</v>
      </c>
      <c r="B231" s="2">
        <v>45024</v>
      </c>
      <c r="C231" t="s">
        <v>481</v>
      </c>
      <c r="D231" t="s">
        <v>52</v>
      </c>
      <c r="E231" t="s">
        <v>31</v>
      </c>
      <c r="F231" t="s">
        <v>16</v>
      </c>
      <c r="G231" t="s">
        <v>17</v>
      </c>
      <c r="H231">
        <v>1</v>
      </c>
      <c r="I231">
        <v>500</v>
      </c>
      <c r="J231">
        <v>1</v>
      </c>
      <c r="K231">
        <v>8</v>
      </c>
      <c r="L231" t="s">
        <v>49</v>
      </c>
    </row>
    <row r="232" spans="1:12">
      <c r="A232" t="s">
        <v>482</v>
      </c>
      <c r="B232" s="2">
        <v>45124</v>
      </c>
      <c r="C232" t="s">
        <v>483</v>
      </c>
      <c r="D232" t="s">
        <v>52</v>
      </c>
      <c r="E232" t="s">
        <v>27</v>
      </c>
      <c r="F232" t="s">
        <v>32</v>
      </c>
      <c r="G232" t="s">
        <v>17</v>
      </c>
      <c r="H232">
        <v>4</v>
      </c>
      <c r="I232">
        <v>300</v>
      </c>
      <c r="J232">
        <v>3</v>
      </c>
      <c r="K232">
        <v>5</v>
      </c>
      <c r="L232" t="s">
        <v>49</v>
      </c>
    </row>
    <row r="233" spans="1:12">
      <c r="A233" t="s">
        <v>484</v>
      </c>
      <c r="B233" s="2">
        <v>45166</v>
      </c>
      <c r="C233" t="s">
        <v>485</v>
      </c>
      <c r="D233" t="s">
        <v>21</v>
      </c>
      <c r="E233" t="s">
        <v>31</v>
      </c>
      <c r="F233" t="s">
        <v>16</v>
      </c>
      <c r="G233" t="s">
        <v>24</v>
      </c>
      <c r="H233">
        <v>1</v>
      </c>
      <c r="I233">
        <v>500</v>
      </c>
      <c r="J233">
        <v>1</v>
      </c>
      <c r="K233">
        <v>2</v>
      </c>
      <c r="L233" t="s">
        <v>33</v>
      </c>
    </row>
    <row r="234" spans="1:12">
      <c r="A234" t="s">
        <v>486</v>
      </c>
      <c r="B234" s="2">
        <v>45070</v>
      </c>
      <c r="C234" t="s">
        <v>487</v>
      </c>
      <c r="D234" t="s">
        <v>14</v>
      </c>
      <c r="E234" t="s">
        <v>22</v>
      </c>
      <c r="F234" t="s">
        <v>16</v>
      </c>
      <c r="G234" t="s">
        <v>24</v>
      </c>
      <c r="H234">
        <v>3</v>
      </c>
      <c r="I234">
        <v>300</v>
      </c>
      <c r="J234">
        <v>3</v>
      </c>
      <c r="K234">
        <v>5</v>
      </c>
      <c r="L234" t="s">
        <v>28</v>
      </c>
    </row>
    <row r="235" spans="1:12">
      <c r="A235" t="s">
        <v>488</v>
      </c>
      <c r="B235" s="2">
        <v>45023</v>
      </c>
      <c r="C235" t="s">
        <v>489</v>
      </c>
      <c r="D235" t="s">
        <v>52</v>
      </c>
      <c r="E235" t="s">
        <v>22</v>
      </c>
      <c r="F235" t="s">
        <v>65</v>
      </c>
      <c r="G235" t="s">
        <v>17</v>
      </c>
      <c r="H235">
        <v>4</v>
      </c>
      <c r="I235">
        <v>500</v>
      </c>
      <c r="J235">
        <v>4</v>
      </c>
      <c r="K235">
        <v>6</v>
      </c>
      <c r="L235" t="s">
        <v>18</v>
      </c>
    </row>
    <row r="236" spans="1:12">
      <c r="A236" t="s">
        <v>490</v>
      </c>
      <c r="B236" s="2">
        <v>45127</v>
      </c>
      <c r="C236" t="s">
        <v>491</v>
      </c>
      <c r="D236" t="s">
        <v>14</v>
      </c>
      <c r="E236" t="s">
        <v>22</v>
      </c>
      <c r="F236" t="s">
        <v>23</v>
      </c>
      <c r="G236" t="s">
        <v>24</v>
      </c>
      <c r="H236">
        <v>4</v>
      </c>
      <c r="I236">
        <v>1200</v>
      </c>
      <c r="J236">
        <v>2</v>
      </c>
      <c r="K236">
        <v>2</v>
      </c>
      <c r="L236" t="s">
        <v>28</v>
      </c>
    </row>
    <row r="237" spans="1:12">
      <c r="A237" t="s">
        <v>492</v>
      </c>
      <c r="B237" s="2">
        <v>45050</v>
      </c>
      <c r="C237" t="s">
        <v>493</v>
      </c>
      <c r="D237" t="s">
        <v>21</v>
      </c>
      <c r="E237" t="s">
        <v>15</v>
      </c>
      <c r="F237" t="s">
        <v>32</v>
      </c>
      <c r="G237" t="s">
        <v>24</v>
      </c>
      <c r="H237">
        <v>1</v>
      </c>
      <c r="I237">
        <v>1200</v>
      </c>
      <c r="J237">
        <v>5</v>
      </c>
      <c r="K237">
        <v>6</v>
      </c>
      <c r="L237" t="s">
        <v>18</v>
      </c>
    </row>
    <row r="238" spans="1:12">
      <c r="A238" t="s">
        <v>494</v>
      </c>
      <c r="B238" s="2">
        <v>45113</v>
      </c>
      <c r="C238" t="s">
        <v>495</v>
      </c>
      <c r="D238" t="s">
        <v>21</v>
      </c>
      <c r="E238" t="s">
        <v>31</v>
      </c>
      <c r="F238" t="s">
        <v>16</v>
      </c>
      <c r="G238" t="s">
        <v>24</v>
      </c>
      <c r="H238">
        <v>4</v>
      </c>
      <c r="I238">
        <v>300</v>
      </c>
      <c r="J238">
        <v>4</v>
      </c>
      <c r="K238">
        <v>6</v>
      </c>
      <c r="L238" t="s">
        <v>33</v>
      </c>
    </row>
    <row r="239" spans="1:12">
      <c r="A239" t="s">
        <v>496</v>
      </c>
      <c r="B239" s="2">
        <v>45252</v>
      </c>
      <c r="C239" t="s">
        <v>497</v>
      </c>
      <c r="D239" t="s">
        <v>52</v>
      </c>
      <c r="E239" t="s">
        <v>27</v>
      </c>
      <c r="F239" t="s">
        <v>65</v>
      </c>
      <c r="G239" t="s">
        <v>17</v>
      </c>
      <c r="H239">
        <v>4</v>
      </c>
      <c r="I239">
        <v>1200</v>
      </c>
      <c r="J239">
        <v>1</v>
      </c>
      <c r="K239">
        <v>1</v>
      </c>
      <c r="L239" t="s">
        <v>33</v>
      </c>
    </row>
    <row r="240" spans="1:12">
      <c r="A240" t="s">
        <v>498</v>
      </c>
      <c r="B240" s="2">
        <v>45275</v>
      </c>
      <c r="C240" t="s">
        <v>499</v>
      </c>
      <c r="D240" t="s">
        <v>21</v>
      </c>
      <c r="E240" t="s">
        <v>27</v>
      </c>
      <c r="F240" t="s">
        <v>44</v>
      </c>
      <c r="G240" t="s">
        <v>17</v>
      </c>
      <c r="H240">
        <v>4</v>
      </c>
      <c r="I240">
        <v>300</v>
      </c>
      <c r="J240">
        <v>5</v>
      </c>
      <c r="K240">
        <v>1</v>
      </c>
      <c r="L240" t="s">
        <v>49</v>
      </c>
    </row>
    <row r="241" spans="1:12">
      <c r="A241" t="s">
        <v>500</v>
      </c>
      <c r="B241" s="2">
        <v>45185</v>
      </c>
      <c r="C241" t="s">
        <v>501</v>
      </c>
      <c r="D241" t="s">
        <v>52</v>
      </c>
      <c r="E241" t="s">
        <v>27</v>
      </c>
      <c r="F241" t="s">
        <v>32</v>
      </c>
      <c r="G241" t="s">
        <v>24</v>
      </c>
      <c r="H241">
        <v>3</v>
      </c>
      <c r="I241">
        <v>1200</v>
      </c>
      <c r="J241">
        <v>2</v>
      </c>
      <c r="K241">
        <v>3</v>
      </c>
      <c r="L241" t="s">
        <v>18</v>
      </c>
    </row>
    <row r="242" spans="1:12">
      <c r="A242" t="s">
        <v>502</v>
      </c>
      <c r="B242" s="2">
        <v>45074</v>
      </c>
      <c r="C242" t="s">
        <v>503</v>
      </c>
      <c r="D242" t="s">
        <v>21</v>
      </c>
      <c r="E242" t="s">
        <v>15</v>
      </c>
      <c r="F242" t="s">
        <v>16</v>
      </c>
      <c r="G242" t="s">
        <v>24</v>
      </c>
      <c r="H242">
        <v>1</v>
      </c>
      <c r="I242">
        <v>1200</v>
      </c>
      <c r="J242">
        <v>4</v>
      </c>
      <c r="K242">
        <v>3</v>
      </c>
      <c r="L242" t="s">
        <v>28</v>
      </c>
    </row>
    <row r="243" spans="1:12">
      <c r="A243" t="s">
        <v>504</v>
      </c>
      <c r="B243" s="2">
        <v>45178</v>
      </c>
      <c r="C243" t="s">
        <v>505</v>
      </c>
      <c r="D243" t="s">
        <v>21</v>
      </c>
      <c r="E243" t="s">
        <v>15</v>
      </c>
      <c r="F243" t="s">
        <v>23</v>
      </c>
      <c r="G243" t="s">
        <v>17</v>
      </c>
      <c r="H243">
        <v>4</v>
      </c>
      <c r="I243">
        <v>300</v>
      </c>
      <c r="J243">
        <v>5</v>
      </c>
      <c r="K243">
        <v>4</v>
      </c>
      <c r="L243" t="s">
        <v>33</v>
      </c>
    </row>
    <row r="244" spans="1:12">
      <c r="A244" t="s">
        <v>506</v>
      </c>
      <c r="B244" s="2">
        <v>45272</v>
      </c>
      <c r="C244" t="s">
        <v>507</v>
      </c>
      <c r="D244" t="s">
        <v>52</v>
      </c>
      <c r="E244" t="s">
        <v>22</v>
      </c>
      <c r="F244" t="s">
        <v>65</v>
      </c>
      <c r="G244" t="s">
        <v>17</v>
      </c>
      <c r="H244">
        <v>2</v>
      </c>
      <c r="I244">
        <v>800</v>
      </c>
      <c r="J244">
        <v>4</v>
      </c>
      <c r="K244">
        <v>2</v>
      </c>
      <c r="L244" t="s">
        <v>28</v>
      </c>
    </row>
    <row r="245" spans="1:12">
      <c r="A245" t="s">
        <v>508</v>
      </c>
      <c r="B245" s="2">
        <v>45073</v>
      </c>
      <c r="C245" t="s">
        <v>509</v>
      </c>
      <c r="D245" t="s">
        <v>52</v>
      </c>
      <c r="E245" t="s">
        <v>27</v>
      </c>
      <c r="F245" t="s">
        <v>16</v>
      </c>
      <c r="G245" t="s">
        <v>24</v>
      </c>
      <c r="H245">
        <v>2</v>
      </c>
      <c r="I245">
        <v>1200</v>
      </c>
      <c r="J245">
        <v>4</v>
      </c>
      <c r="K245">
        <v>9</v>
      </c>
      <c r="L245" t="s">
        <v>49</v>
      </c>
    </row>
    <row r="246" spans="1:12">
      <c r="A246" t="s">
        <v>510</v>
      </c>
      <c r="B246" s="2">
        <v>45074</v>
      </c>
      <c r="C246" t="s">
        <v>511</v>
      </c>
      <c r="D246" t="s">
        <v>52</v>
      </c>
      <c r="E246" t="s">
        <v>15</v>
      </c>
      <c r="F246" t="s">
        <v>23</v>
      </c>
      <c r="G246" t="s">
        <v>24</v>
      </c>
      <c r="H246">
        <v>2</v>
      </c>
      <c r="I246">
        <v>500</v>
      </c>
      <c r="J246">
        <v>2</v>
      </c>
      <c r="K246">
        <v>7</v>
      </c>
      <c r="L246" t="s">
        <v>18</v>
      </c>
    </row>
    <row r="247" spans="1:12">
      <c r="A247" t="s">
        <v>512</v>
      </c>
      <c r="B247" s="2">
        <v>45278</v>
      </c>
      <c r="C247" t="s">
        <v>513</v>
      </c>
      <c r="D247" t="s">
        <v>21</v>
      </c>
      <c r="E247" t="s">
        <v>22</v>
      </c>
      <c r="F247" t="s">
        <v>16</v>
      </c>
      <c r="G247" t="s">
        <v>17</v>
      </c>
      <c r="H247">
        <v>2</v>
      </c>
      <c r="I247">
        <v>800</v>
      </c>
      <c r="J247">
        <v>3</v>
      </c>
      <c r="K247">
        <v>7</v>
      </c>
      <c r="L247" t="s">
        <v>18</v>
      </c>
    </row>
    <row r="248" spans="1:12">
      <c r="A248" t="s">
        <v>514</v>
      </c>
      <c r="B248" s="2">
        <v>45125</v>
      </c>
      <c r="C248" t="s">
        <v>515</v>
      </c>
      <c r="D248" t="s">
        <v>21</v>
      </c>
      <c r="E248" t="s">
        <v>27</v>
      </c>
      <c r="F248" t="s">
        <v>32</v>
      </c>
      <c r="G248" t="s">
        <v>17</v>
      </c>
      <c r="H248">
        <v>3</v>
      </c>
      <c r="I248">
        <v>300</v>
      </c>
      <c r="J248">
        <v>5</v>
      </c>
      <c r="K248">
        <v>6</v>
      </c>
      <c r="L248" t="s">
        <v>33</v>
      </c>
    </row>
    <row r="249" spans="1:12">
      <c r="A249" t="s">
        <v>516</v>
      </c>
      <c r="B249" s="2">
        <v>45234</v>
      </c>
      <c r="C249" t="s">
        <v>517</v>
      </c>
      <c r="D249" t="s">
        <v>14</v>
      </c>
      <c r="E249" t="s">
        <v>31</v>
      </c>
      <c r="F249" t="s">
        <v>32</v>
      </c>
      <c r="G249" t="s">
        <v>17</v>
      </c>
      <c r="H249">
        <v>4</v>
      </c>
      <c r="I249">
        <v>800</v>
      </c>
      <c r="J249">
        <v>2</v>
      </c>
      <c r="K249">
        <v>3</v>
      </c>
      <c r="L249" t="s">
        <v>18</v>
      </c>
    </row>
    <row r="250" spans="1:12">
      <c r="A250" t="s">
        <v>518</v>
      </c>
      <c r="B250" s="2">
        <v>45054</v>
      </c>
      <c r="C250" t="s">
        <v>519</v>
      </c>
      <c r="D250" t="s">
        <v>52</v>
      </c>
      <c r="E250" t="s">
        <v>22</v>
      </c>
      <c r="F250" t="s">
        <v>32</v>
      </c>
      <c r="G250" t="s">
        <v>24</v>
      </c>
      <c r="H250">
        <v>1</v>
      </c>
      <c r="I250">
        <v>150</v>
      </c>
      <c r="J250">
        <v>4</v>
      </c>
      <c r="K250">
        <v>6</v>
      </c>
      <c r="L250" t="s">
        <v>33</v>
      </c>
    </row>
    <row r="251" spans="1:12">
      <c r="A251" t="s">
        <v>520</v>
      </c>
      <c r="B251" s="2">
        <v>44965</v>
      </c>
      <c r="C251" t="s">
        <v>521</v>
      </c>
      <c r="D251" t="s">
        <v>21</v>
      </c>
      <c r="E251" t="s">
        <v>15</v>
      </c>
      <c r="F251" t="s">
        <v>65</v>
      </c>
      <c r="G251" t="s">
        <v>17</v>
      </c>
      <c r="H251">
        <v>4</v>
      </c>
      <c r="I251">
        <v>150</v>
      </c>
      <c r="J251">
        <v>2</v>
      </c>
      <c r="K251">
        <v>8</v>
      </c>
      <c r="L251" t="s">
        <v>49</v>
      </c>
    </row>
    <row r="252" spans="1:12">
      <c r="A252" t="s">
        <v>522</v>
      </c>
      <c r="B252" s="2">
        <v>45264</v>
      </c>
      <c r="C252" t="s">
        <v>523</v>
      </c>
      <c r="D252" t="s">
        <v>21</v>
      </c>
      <c r="E252" t="s">
        <v>15</v>
      </c>
      <c r="F252" t="s">
        <v>32</v>
      </c>
      <c r="G252" t="s">
        <v>24</v>
      </c>
      <c r="H252">
        <v>3</v>
      </c>
      <c r="I252">
        <v>1200</v>
      </c>
      <c r="J252">
        <v>3</v>
      </c>
      <c r="K252">
        <v>8</v>
      </c>
      <c r="L252" t="s">
        <v>18</v>
      </c>
    </row>
    <row r="253" spans="1:12">
      <c r="A253" t="s">
        <v>524</v>
      </c>
      <c r="B253" s="2">
        <v>45286</v>
      </c>
      <c r="C253" t="s">
        <v>525</v>
      </c>
      <c r="D253" t="s">
        <v>52</v>
      </c>
      <c r="E253" t="s">
        <v>22</v>
      </c>
      <c r="F253" t="s">
        <v>23</v>
      </c>
      <c r="G253" t="s">
        <v>17</v>
      </c>
      <c r="H253">
        <v>2</v>
      </c>
      <c r="I253">
        <v>1200</v>
      </c>
      <c r="J253">
        <v>5</v>
      </c>
      <c r="K253">
        <v>9</v>
      </c>
      <c r="L253" t="s">
        <v>33</v>
      </c>
    </row>
    <row r="254" spans="1:12">
      <c r="A254" t="s">
        <v>526</v>
      </c>
      <c r="B254" s="2">
        <v>45055</v>
      </c>
      <c r="C254" t="s">
        <v>527</v>
      </c>
      <c r="D254" t="s">
        <v>14</v>
      </c>
      <c r="E254" t="s">
        <v>22</v>
      </c>
      <c r="F254" t="s">
        <v>16</v>
      </c>
      <c r="G254" t="s">
        <v>17</v>
      </c>
      <c r="H254">
        <v>3</v>
      </c>
      <c r="I254">
        <v>500</v>
      </c>
      <c r="J254">
        <v>3</v>
      </c>
      <c r="K254">
        <v>1</v>
      </c>
      <c r="L254" t="s">
        <v>28</v>
      </c>
    </row>
    <row r="255" spans="1:12">
      <c r="A255" t="s">
        <v>528</v>
      </c>
      <c r="B255" s="2">
        <v>45193</v>
      </c>
      <c r="C255" t="s">
        <v>529</v>
      </c>
      <c r="D255" t="s">
        <v>52</v>
      </c>
      <c r="E255" t="s">
        <v>15</v>
      </c>
      <c r="F255" t="s">
        <v>44</v>
      </c>
      <c r="G255" t="s">
        <v>17</v>
      </c>
      <c r="H255">
        <v>4</v>
      </c>
      <c r="I255">
        <v>800</v>
      </c>
      <c r="J255">
        <v>1</v>
      </c>
      <c r="K255">
        <v>1</v>
      </c>
      <c r="L255" t="s">
        <v>33</v>
      </c>
    </row>
    <row r="256" spans="1:12">
      <c r="A256" t="s">
        <v>530</v>
      </c>
      <c r="B256" s="2">
        <v>45077</v>
      </c>
      <c r="C256" t="s">
        <v>531</v>
      </c>
      <c r="D256" t="s">
        <v>14</v>
      </c>
      <c r="E256" t="s">
        <v>31</v>
      </c>
      <c r="F256" t="s">
        <v>23</v>
      </c>
      <c r="G256" t="s">
        <v>17</v>
      </c>
      <c r="H256">
        <v>1</v>
      </c>
      <c r="I256">
        <v>150</v>
      </c>
      <c r="J256">
        <v>5</v>
      </c>
      <c r="K256">
        <v>3</v>
      </c>
      <c r="L256" t="s">
        <v>18</v>
      </c>
    </row>
    <row r="257" spans="1:12">
      <c r="A257" t="s">
        <v>532</v>
      </c>
      <c r="B257" s="2">
        <v>45224</v>
      </c>
      <c r="C257" t="s">
        <v>533</v>
      </c>
      <c r="D257" t="s">
        <v>21</v>
      </c>
      <c r="E257" t="s">
        <v>27</v>
      </c>
      <c r="F257" t="s">
        <v>23</v>
      </c>
      <c r="G257" t="s">
        <v>24</v>
      </c>
      <c r="H257">
        <v>3</v>
      </c>
      <c r="I257">
        <v>1200</v>
      </c>
      <c r="J257">
        <v>3</v>
      </c>
      <c r="K257">
        <v>3</v>
      </c>
      <c r="L257" t="s">
        <v>49</v>
      </c>
    </row>
    <row r="258" spans="1:12">
      <c r="A258" t="s">
        <v>534</v>
      </c>
      <c r="B258" s="2">
        <v>45025</v>
      </c>
      <c r="C258" t="s">
        <v>535</v>
      </c>
      <c r="D258" t="s">
        <v>14</v>
      </c>
      <c r="E258" t="s">
        <v>31</v>
      </c>
      <c r="F258" t="s">
        <v>32</v>
      </c>
      <c r="G258" t="s">
        <v>24</v>
      </c>
      <c r="H258">
        <v>1</v>
      </c>
      <c r="I258">
        <v>800</v>
      </c>
      <c r="J258">
        <v>4</v>
      </c>
      <c r="K258">
        <v>8</v>
      </c>
      <c r="L258" t="s">
        <v>18</v>
      </c>
    </row>
    <row r="259" spans="1:12">
      <c r="A259" t="s">
        <v>536</v>
      </c>
      <c r="B259" s="2">
        <v>45189</v>
      </c>
      <c r="C259" t="s">
        <v>537</v>
      </c>
      <c r="D259" t="s">
        <v>21</v>
      </c>
      <c r="E259" t="s">
        <v>22</v>
      </c>
      <c r="F259" t="s">
        <v>65</v>
      </c>
      <c r="G259" t="s">
        <v>17</v>
      </c>
      <c r="H259">
        <v>3</v>
      </c>
      <c r="I259">
        <v>1200</v>
      </c>
      <c r="J259">
        <v>5</v>
      </c>
      <c r="K259">
        <v>1</v>
      </c>
      <c r="L259" t="s">
        <v>18</v>
      </c>
    </row>
    <row r="260" spans="1:12">
      <c r="A260" t="s">
        <v>538</v>
      </c>
      <c r="B260" s="2">
        <v>45178</v>
      </c>
      <c r="C260" t="s">
        <v>539</v>
      </c>
      <c r="D260" t="s">
        <v>52</v>
      </c>
      <c r="E260" t="s">
        <v>31</v>
      </c>
      <c r="F260" t="s">
        <v>16</v>
      </c>
      <c r="G260" t="s">
        <v>24</v>
      </c>
      <c r="H260">
        <v>1</v>
      </c>
      <c r="I260">
        <v>1200</v>
      </c>
      <c r="J260">
        <v>5</v>
      </c>
      <c r="K260">
        <v>2</v>
      </c>
      <c r="L260" t="s">
        <v>33</v>
      </c>
    </row>
    <row r="261" spans="1:12">
      <c r="A261" t="s">
        <v>540</v>
      </c>
      <c r="B261" s="2">
        <v>45070</v>
      </c>
      <c r="C261" t="s">
        <v>541</v>
      </c>
      <c r="D261" t="s">
        <v>52</v>
      </c>
      <c r="E261" t="s">
        <v>15</v>
      </c>
      <c r="F261" t="s">
        <v>65</v>
      </c>
      <c r="G261" t="s">
        <v>17</v>
      </c>
      <c r="H261">
        <v>1</v>
      </c>
      <c r="I261">
        <v>150</v>
      </c>
      <c r="J261">
        <v>2</v>
      </c>
      <c r="K261">
        <v>2</v>
      </c>
      <c r="L261" t="s">
        <v>28</v>
      </c>
    </row>
    <row r="262" spans="1:12">
      <c r="A262" t="s">
        <v>542</v>
      </c>
      <c r="B262" s="2">
        <v>45272</v>
      </c>
      <c r="C262" t="s">
        <v>543</v>
      </c>
      <c r="D262" t="s">
        <v>52</v>
      </c>
      <c r="E262" t="s">
        <v>22</v>
      </c>
      <c r="F262" t="s">
        <v>16</v>
      </c>
      <c r="G262" t="s">
        <v>17</v>
      </c>
      <c r="H262">
        <v>2</v>
      </c>
      <c r="I262">
        <v>150</v>
      </c>
      <c r="J262">
        <v>4</v>
      </c>
      <c r="K262">
        <v>3</v>
      </c>
      <c r="L262" t="s">
        <v>18</v>
      </c>
    </row>
    <row r="263" spans="1:12">
      <c r="A263" t="s">
        <v>544</v>
      </c>
      <c r="B263" s="2">
        <v>45038</v>
      </c>
      <c r="C263" t="s">
        <v>545</v>
      </c>
      <c r="D263" t="s">
        <v>14</v>
      </c>
      <c r="E263" t="s">
        <v>27</v>
      </c>
      <c r="F263" t="s">
        <v>16</v>
      </c>
      <c r="G263" t="s">
        <v>17</v>
      </c>
      <c r="H263">
        <v>1</v>
      </c>
      <c r="I263">
        <v>1200</v>
      </c>
      <c r="J263">
        <v>1</v>
      </c>
      <c r="K263">
        <v>6</v>
      </c>
      <c r="L263" t="s">
        <v>28</v>
      </c>
    </row>
    <row r="264" spans="1:12">
      <c r="A264" t="s">
        <v>546</v>
      </c>
      <c r="B264" s="2">
        <v>44986</v>
      </c>
      <c r="C264" t="s">
        <v>547</v>
      </c>
      <c r="D264" t="s">
        <v>21</v>
      </c>
      <c r="E264" t="s">
        <v>15</v>
      </c>
      <c r="F264" t="s">
        <v>65</v>
      </c>
      <c r="G264" t="s">
        <v>17</v>
      </c>
      <c r="H264">
        <v>2</v>
      </c>
      <c r="I264">
        <v>300</v>
      </c>
      <c r="J264">
        <v>3</v>
      </c>
      <c r="K264">
        <v>1</v>
      </c>
      <c r="L264" t="s">
        <v>33</v>
      </c>
    </row>
    <row r="265" spans="1:12">
      <c r="A265" t="s">
        <v>548</v>
      </c>
      <c r="B265" s="2">
        <v>44928</v>
      </c>
      <c r="C265" t="s">
        <v>549</v>
      </c>
      <c r="D265" t="s">
        <v>52</v>
      </c>
      <c r="E265" t="s">
        <v>15</v>
      </c>
      <c r="F265" t="s">
        <v>23</v>
      </c>
      <c r="G265" t="s">
        <v>24</v>
      </c>
      <c r="H265">
        <v>4</v>
      </c>
      <c r="I265">
        <v>1200</v>
      </c>
      <c r="J265">
        <v>2</v>
      </c>
      <c r="K265">
        <v>2</v>
      </c>
      <c r="L265" t="s">
        <v>28</v>
      </c>
    </row>
    <row r="266" spans="1:12">
      <c r="A266" t="s">
        <v>550</v>
      </c>
      <c r="B266" s="2">
        <v>45230</v>
      </c>
      <c r="C266" t="s">
        <v>551</v>
      </c>
      <c r="D266" t="s">
        <v>52</v>
      </c>
      <c r="E266" t="s">
        <v>27</v>
      </c>
      <c r="F266" t="s">
        <v>16</v>
      </c>
      <c r="G266" t="s">
        <v>17</v>
      </c>
      <c r="H266">
        <v>4</v>
      </c>
      <c r="I266">
        <v>1200</v>
      </c>
      <c r="J266">
        <v>3</v>
      </c>
      <c r="K266">
        <v>1</v>
      </c>
      <c r="L266" t="s">
        <v>33</v>
      </c>
    </row>
    <row r="267" spans="1:12">
      <c r="A267" t="s">
        <v>552</v>
      </c>
      <c r="B267" s="2">
        <v>45180</v>
      </c>
      <c r="C267" t="s">
        <v>553</v>
      </c>
      <c r="D267" t="s">
        <v>21</v>
      </c>
      <c r="E267" t="s">
        <v>27</v>
      </c>
      <c r="F267" t="s">
        <v>65</v>
      </c>
      <c r="G267" t="s">
        <v>17</v>
      </c>
      <c r="H267">
        <v>2</v>
      </c>
      <c r="I267">
        <v>500</v>
      </c>
      <c r="J267">
        <v>1</v>
      </c>
      <c r="K267">
        <v>5</v>
      </c>
      <c r="L267" t="s">
        <v>49</v>
      </c>
    </row>
    <row r="268" spans="1:12">
      <c r="A268" t="s">
        <v>554</v>
      </c>
      <c r="B268" s="2">
        <v>45066</v>
      </c>
      <c r="C268" t="s">
        <v>555</v>
      </c>
      <c r="D268" t="s">
        <v>52</v>
      </c>
      <c r="E268" t="s">
        <v>31</v>
      </c>
      <c r="F268" t="s">
        <v>16</v>
      </c>
      <c r="G268" t="s">
        <v>24</v>
      </c>
      <c r="H268">
        <v>2</v>
      </c>
      <c r="I268">
        <v>500</v>
      </c>
      <c r="J268">
        <v>1</v>
      </c>
      <c r="K268">
        <v>7</v>
      </c>
      <c r="L268" t="s">
        <v>28</v>
      </c>
    </row>
    <row r="269" spans="1:12">
      <c r="A269" t="s">
        <v>556</v>
      </c>
      <c r="B269" s="2">
        <v>44963</v>
      </c>
      <c r="C269" t="s">
        <v>557</v>
      </c>
      <c r="D269" t="s">
        <v>21</v>
      </c>
      <c r="E269" t="s">
        <v>22</v>
      </c>
      <c r="F269" t="s">
        <v>44</v>
      </c>
      <c r="G269" t="s">
        <v>17</v>
      </c>
      <c r="H269">
        <v>3</v>
      </c>
      <c r="I269">
        <v>500</v>
      </c>
      <c r="J269">
        <v>5</v>
      </c>
      <c r="K269">
        <v>8</v>
      </c>
      <c r="L269" t="s">
        <v>28</v>
      </c>
    </row>
    <row r="270" spans="1:12">
      <c r="A270" t="s">
        <v>558</v>
      </c>
      <c r="B270" s="2">
        <v>45086</v>
      </c>
      <c r="C270" t="s">
        <v>559</v>
      </c>
      <c r="D270" t="s">
        <v>21</v>
      </c>
      <c r="E270" t="s">
        <v>27</v>
      </c>
      <c r="F270" t="s">
        <v>23</v>
      </c>
      <c r="G270" t="s">
        <v>17</v>
      </c>
      <c r="H270">
        <v>3</v>
      </c>
      <c r="I270">
        <v>300</v>
      </c>
      <c r="J270">
        <v>1</v>
      </c>
      <c r="K270">
        <v>1</v>
      </c>
      <c r="L270" t="s">
        <v>49</v>
      </c>
    </row>
    <row r="271" spans="1:12">
      <c r="A271" t="s">
        <v>560</v>
      </c>
      <c r="B271" s="2">
        <v>44935</v>
      </c>
      <c r="C271" t="s">
        <v>561</v>
      </c>
      <c r="D271" t="s">
        <v>21</v>
      </c>
      <c r="E271" t="s">
        <v>27</v>
      </c>
      <c r="F271" t="s">
        <v>32</v>
      </c>
      <c r="G271" t="s">
        <v>17</v>
      </c>
      <c r="H271">
        <v>3</v>
      </c>
      <c r="I271">
        <v>300</v>
      </c>
      <c r="J271">
        <v>3</v>
      </c>
      <c r="K271">
        <v>7</v>
      </c>
      <c r="L271" t="s">
        <v>28</v>
      </c>
    </row>
    <row r="272" spans="1:12">
      <c r="A272" t="s">
        <v>562</v>
      </c>
      <c r="B272" s="2">
        <v>45159</v>
      </c>
      <c r="C272" t="s">
        <v>563</v>
      </c>
      <c r="D272" t="s">
        <v>21</v>
      </c>
      <c r="E272" t="s">
        <v>22</v>
      </c>
      <c r="F272" t="s">
        <v>16</v>
      </c>
      <c r="G272" t="s">
        <v>24</v>
      </c>
      <c r="H272">
        <v>4</v>
      </c>
      <c r="I272">
        <v>1200</v>
      </c>
      <c r="J272">
        <v>4</v>
      </c>
      <c r="K272">
        <v>5</v>
      </c>
      <c r="L272" t="s">
        <v>49</v>
      </c>
    </row>
    <row r="273" spans="1:12">
      <c r="A273" t="s">
        <v>564</v>
      </c>
      <c r="B273" s="2">
        <v>45025</v>
      </c>
      <c r="C273" t="s">
        <v>565</v>
      </c>
      <c r="D273" t="s">
        <v>21</v>
      </c>
      <c r="E273" t="s">
        <v>27</v>
      </c>
      <c r="F273" t="s">
        <v>44</v>
      </c>
      <c r="G273" t="s">
        <v>17</v>
      </c>
      <c r="H273">
        <v>3</v>
      </c>
      <c r="I273">
        <v>500</v>
      </c>
      <c r="J273">
        <v>4</v>
      </c>
      <c r="K273">
        <v>1</v>
      </c>
      <c r="L273" t="s">
        <v>18</v>
      </c>
    </row>
    <row r="274" spans="1:12">
      <c r="A274" t="s">
        <v>566</v>
      </c>
      <c r="B274" s="2">
        <v>45073</v>
      </c>
      <c r="C274" t="s">
        <v>567</v>
      </c>
      <c r="D274" t="s">
        <v>14</v>
      </c>
      <c r="E274" t="s">
        <v>27</v>
      </c>
      <c r="F274" t="s">
        <v>32</v>
      </c>
      <c r="G274" t="s">
        <v>24</v>
      </c>
      <c r="H274">
        <v>1</v>
      </c>
      <c r="I274">
        <v>300</v>
      </c>
      <c r="J274">
        <v>5</v>
      </c>
      <c r="K274">
        <v>3</v>
      </c>
      <c r="L274" t="s">
        <v>33</v>
      </c>
    </row>
    <row r="275" spans="1:12">
      <c r="A275" t="s">
        <v>568</v>
      </c>
      <c r="B275" s="2">
        <v>45230</v>
      </c>
      <c r="C275" t="s">
        <v>569</v>
      </c>
      <c r="D275" t="s">
        <v>52</v>
      </c>
      <c r="E275" t="s">
        <v>31</v>
      </c>
      <c r="F275" t="s">
        <v>32</v>
      </c>
      <c r="G275" t="s">
        <v>17</v>
      </c>
      <c r="H275">
        <v>1</v>
      </c>
      <c r="I275">
        <v>150</v>
      </c>
      <c r="J275">
        <v>3</v>
      </c>
      <c r="K275">
        <v>7</v>
      </c>
      <c r="L275" t="s">
        <v>49</v>
      </c>
    </row>
    <row r="276" spans="1:12">
      <c r="A276" t="s">
        <v>570</v>
      </c>
      <c r="B276" s="2">
        <v>45134</v>
      </c>
      <c r="C276" t="s">
        <v>571</v>
      </c>
      <c r="D276" t="s">
        <v>14</v>
      </c>
      <c r="E276" t="s">
        <v>15</v>
      </c>
      <c r="F276" t="s">
        <v>16</v>
      </c>
      <c r="G276" t="s">
        <v>17</v>
      </c>
      <c r="H276">
        <v>3</v>
      </c>
      <c r="I276">
        <v>1200</v>
      </c>
      <c r="J276">
        <v>3</v>
      </c>
      <c r="K276">
        <v>1</v>
      </c>
      <c r="L276" t="s">
        <v>28</v>
      </c>
    </row>
    <row r="277" spans="1:12">
      <c r="A277" t="s">
        <v>572</v>
      </c>
      <c r="B277" s="2">
        <v>45057</v>
      </c>
      <c r="C277" t="s">
        <v>573</v>
      </c>
      <c r="D277" t="s">
        <v>52</v>
      </c>
      <c r="E277" t="s">
        <v>15</v>
      </c>
      <c r="F277" t="s">
        <v>65</v>
      </c>
      <c r="G277" t="s">
        <v>24</v>
      </c>
      <c r="H277">
        <v>1</v>
      </c>
      <c r="I277">
        <v>800</v>
      </c>
      <c r="J277">
        <v>1</v>
      </c>
      <c r="K277">
        <v>7</v>
      </c>
      <c r="L277" t="s">
        <v>49</v>
      </c>
    </row>
    <row r="278" spans="1:12">
      <c r="A278" t="s">
        <v>574</v>
      </c>
      <c r="B278" s="2">
        <v>45078</v>
      </c>
      <c r="C278" t="s">
        <v>575</v>
      </c>
      <c r="D278" t="s">
        <v>14</v>
      </c>
      <c r="E278" t="s">
        <v>15</v>
      </c>
      <c r="F278" t="s">
        <v>16</v>
      </c>
      <c r="G278" t="s">
        <v>17</v>
      </c>
      <c r="H278">
        <v>4</v>
      </c>
      <c r="I278">
        <v>1200</v>
      </c>
      <c r="J278">
        <v>3</v>
      </c>
      <c r="K278">
        <v>5</v>
      </c>
      <c r="L278" t="s">
        <v>28</v>
      </c>
    </row>
    <row r="279" spans="1:12">
      <c r="A279" t="s">
        <v>576</v>
      </c>
      <c r="B279" s="2">
        <v>44980</v>
      </c>
      <c r="C279" t="s">
        <v>577</v>
      </c>
      <c r="D279" t="s">
        <v>21</v>
      </c>
      <c r="E279" t="s">
        <v>15</v>
      </c>
      <c r="F279" t="s">
        <v>44</v>
      </c>
      <c r="G279" t="s">
        <v>17</v>
      </c>
      <c r="H279">
        <v>1</v>
      </c>
      <c r="I279">
        <v>800</v>
      </c>
      <c r="J279">
        <v>2</v>
      </c>
      <c r="K279">
        <v>1</v>
      </c>
      <c r="L279" t="s">
        <v>18</v>
      </c>
    </row>
    <row r="280" spans="1:12">
      <c r="A280" t="s">
        <v>578</v>
      </c>
      <c r="B280" s="2">
        <v>45046</v>
      </c>
      <c r="C280" t="s">
        <v>579</v>
      </c>
      <c r="D280" t="s">
        <v>52</v>
      </c>
      <c r="E280" t="s">
        <v>27</v>
      </c>
      <c r="F280" t="s">
        <v>32</v>
      </c>
      <c r="G280" t="s">
        <v>24</v>
      </c>
      <c r="H280">
        <v>4</v>
      </c>
      <c r="I280">
        <v>500</v>
      </c>
      <c r="J280">
        <v>1</v>
      </c>
      <c r="K280">
        <v>1</v>
      </c>
      <c r="L280" t="s">
        <v>49</v>
      </c>
    </row>
    <row r="281" spans="1:12">
      <c r="A281" t="s">
        <v>580</v>
      </c>
      <c r="B281" s="2">
        <v>45087</v>
      </c>
      <c r="C281" t="s">
        <v>581</v>
      </c>
      <c r="D281" t="s">
        <v>52</v>
      </c>
      <c r="E281" t="s">
        <v>22</v>
      </c>
      <c r="F281" t="s">
        <v>16</v>
      </c>
      <c r="G281" t="s">
        <v>24</v>
      </c>
      <c r="H281">
        <v>2</v>
      </c>
      <c r="I281">
        <v>800</v>
      </c>
      <c r="J281">
        <v>2</v>
      </c>
      <c r="K281">
        <v>1</v>
      </c>
      <c r="L281" t="s">
        <v>18</v>
      </c>
    </row>
    <row r="282" spans="1:12">
      <c r="A282" t="s">
        <v>582</v>
      </c>
      <c r="B282" s="2">
        <v>45042</v>
      </c>
      <c r="C282" t="s">
        <v>583</v>
      </c>
      <c r="D282" t="s">
        <v>14</v>
      </c>
      <c r="E282" t="s">
        <v>22</v>
      </c>
      <c r="F282" t="s">
        <v>65</v>
      </c>
      <c r="G282" t="s">
        <v>24</v>
      </c>
      <c r="H282">
        <v>2</v>
      </c>
      <c r="I282">
        <v>500</v>
      </c>
      <c r="J282">
        <v>5</v>
      </c>
      <c r="K282">
        <v>9</v>
      </c>
      <c r="L282" t="s">
        <v>33</v>
      </c>
    </row>
    <row r="283" spans="1:12">
      <c r="A283" t="s">
        <v>584</v>
      </c>
      <c r="B283" s="2">
        <v>45001</v>
      </c>
      <c r="C283" t="s">
        <v>585</v>
      </c>
      <c r="D283" t="s">
        <v>14</v>
      </c>
      <c r="E283" t="s">
        <v>31</v>
      </c>
      <c r="F283" t="s">
        <v>16</v>
      </c>
      <c r="G283" t="s">
        <v>24</v>
      </c>
      <c r="H283">
        <v>2</v>
      </c>
      <c r="I283">
        <v>150</v>
      </c>
      <c r="J283">
        <v>4</v>
      </c>
      <c r="K283">
        <v>3</v>
      </c>
      <c r="L283" t="s">
        <v>28</v>
      </c>
    </row>
    <row r="284" spans="1:12">
      <c r="A284" t="s">
        <v>586</v>
      </c>
      <c r="B284" s="2">
        <v>45039</v>
      </c>
      <c r="C284" t="s">
        <v>587</v>
      </c>
      <c r="D284" t="s">
        <v>52</v>
      </c>
      <c r="E284" t="s">
        <v>31</v>
      </c>
      <c r="F284" t="s">
        <v>23</v>
      </c>
      <c r="G284" t="s">
        <v>24</v>
      </c>
      <c r="H284">
        <v>2</v>
      </c>
      <c r="I284">
        <v>800</v>
      </c>
      <c r="J284">
        <v>5</v>
      </c>
      <c r="K284">
        <v>5</v>
      </c>
      <c r="L284" t="s">
        <v>28</v>
      </c>
    </row>
    <row r="285" spans="1:12">
      <c r="A285" t="s">
        <v>588</v>
      </c>
      <c r="B285" s="2">
        <v>45030</v>
      </c>
      <c r="C285" t="s">
        <v>589</v>
      </c>
      <c r="D285" t="s">
        <v>14</v>
      </c>
      <c r="E285" t="s">
        <v>27</v>
      </c>
      <c r="F285" t="s">
        <v>65</v>
      </c>
      <c r="G285" t="s">
        <v>17</v>
      </c>
      <c r="H285">
        <v>1</v>
      </c>
      <c r="I285">
        <v>1200</v>
      </c>
      <c r="J285">
        <v>4</v>
      </c>
      <c r="K285">
        <v>9</v>
      </c>
      <c r="L285" t="s">
        <v>18</v>
      </c>
    </row>
    <row r="286" spans="1:12">
      <c r="A286" t="s">
        <v>590</v>
      </c>
      <c r="B286" s="2">
        <v>45266</v>
      </c>
      <c r="C286" t="s">
        <v>591</v>
      </c>
      <c r="D286" t="s">
        <v>14</v>
      </c>
      <c r="E286" t="s">
        <v>22</v>
      </c>
      <c r="F286" t="s">
        <v>44</v>
      </c>
      <c r="G286" t="s">
        <v>24</v>
      </c>
      <c r="H286">
        <v>3</v>
      </c>
      <c r="I286">
        <v>500</v>
      </c>
      <c r="J286">
        <v>5</v>
      </c>
      <c r="K286">
        <v>6</v>
      </c>
      <c r="L286" t="s">
        <v>33</v>
      </c>
    </row>
    <row r="287" spans="1:12">
      <c r="A287" t="s">
        <v>592</v>
      </c>
      <c r="B287" s="2">
        <v>45180</v>
      </c>
      <c r="C287" t="s">
        <v>593</v>
      </c>
      <c r="D287" t="s">
        <v>14</v>
      </c>
      <c r="E287" t="s">
        <v>22</v>
      </c>
      <c r="F287" t="s">
        <v>32</v>
      </c>
      <c r="G287" t="s">
        <v>17</v>
      </c>
      <c r="H287">
        <v>1</v>
      </c>
      <c r="I287">
        <v>1200</v>
      </c>
      <c r="J287">
        <v>3</v>
      </c>
      <c r="K287">
        <v>9</v>
      </c>
      <c r="L287" t="s">
        <v>49</v>
      </c>
    </row>
    <row r="288" spans="1:12">
      <c r="A288" t="s">
        <v>594</v>
      </c>
      <c r="B288" s="2">
        <v>45153</v>
      </c>
      <c r="C288" t="s">
        <v>595</v>
      </c>
      <c r="D288" t="s">
        <v>21</v>
      </c>
      <c r="E288" t="s">
        <v>15</v>
      </c>
      <c r="F288" t="s">
        <v>16</v>
      </c>
      <c r="G288" t="s">
        <v>17</v>
      </c>
      <c r="H288">
        <v>4</v>
      </c>
      <c r="I288">
        <v>300</v>
      </c>
      <c r="J288">
        <v>2</v>
      </c>
      <c r="K288">
        <v>8</v>
      </c>
      <c r="L288" t="s">
        <v>49</v>
      </c>
    </row>
    <row r="289" spans="1:12">
      <c r="A289" t="s">
        <v>596</v>
      </c>
      <c r="B289" s="2">
        <v>45038</v>
      </c>
      <c r="C289" t="s">
        <v>597</v>
      </c>
      <c r="D289" t="s">
        <v>21</v>
      </c>
      <c r="E289" t="s">
        <v>27</v>
      </c>
      <c r="F289" t="s">
        <v>65</v>
      </c>
      <c r="G289" t="s">
        <v>17</v>
      </c>
      <c r="H289">
        <v>1</v>
      </c>
      <c r="I289">
        <v>500</v>
      </c>
      <c r="J289">
        <v>4</v>
      </c>
      <c r="K289">
        <v>8</v>
      </c>
      <c r="L289" t="s">
        <v>28</v>
      </c>
    </row>
    <row r="290" spans="1:12">
      <c r="A290" t="s">
        <v>598</v>
      </c>
      <c r="B290" s="2">
        <v>45025</v>
      </c>
      <c r="C290" t="s">
        <v>599</v>
      </c>
      <c r="D290" t="s">
        <v>14</v>
      </c>
      <c r="E290" t="s">
        <v>27</v>
      </c>
      <c r="F290" t="s">
        <v>23</v>
      </c>
      <c r="G290" t="s">
        <v>24</v>
      </c>
      <c r="H290">
        <v>1</v>
      </c>
      <c r="I290">
        <v>800</v>
      </c>
      <c r="J290">
        <v>1</v>
      </c>
      <c r="K290">
        <v>1</v>
      </c>
      <c r="L290" t="s">
        <v>18</v>
      </c>
    </row>
    <row r="291" spans="1:12">
      <c r="A291" t="s">
        <v>600</v>
      </c>
      <c r="B291" s="2">
        <v>45079</v>
      </c>
      <c r="C291" t="s">
        <v>601</v>
      </c>
      <c r="D291" t="s">
        <v>14</v>
      </c>
      <c r="E291" t="s">
        <v>15</v>
      </c>
      <c r="F291" t="s">
        <v>65</v>
      </c>
      <c r="G291" t="s">
        <v>24</v>
      </c>
      <c r="H291">
        <v>4</v>
      </c>
      <c r="I291">
        <v>500</v>
      </c>
      <c r="J291">
        <v>2</v>
      </c>
      <c r="K291">
        <v>9</v>
      </c>
      <c r="L291" t="s">
        <v>18</v>
      </c>
    </row>
    <row r="292" spans="1:12">
      <c r="A292" t="s">
        <v>602</v>
      </c>
      <c r="B292" s="2">
        <v>45275</v>
      </c>
      <c r="C292" t="s">
        <v>603</v>
      </c>
      <c r="D292" t="s">
        <v>21</v>
      </c>
      <c r="E292" t="s">
        <v>27</v>
      </c>
      <c r="F292" t="s">
        <v>23</v>
      </c>
      <c r="G292" t="s">
        <v>17</v>
      </c>
      <c r="H292">
        <v>2</v>
      </c>
      <c r="I292">
        <v>1200</v>
      </c>
      <c r="J292">
        <v>1</v>
      </c>
      <c r="K292">
        <v>6</v>
      </c>
      <c r="L292" t="s">
        <v>49</v>
      </c>
    </row>
    <row r="293" spans="1:12">
      <c r="A293" t="s">
        <v>604</v>
      </c>
      <c r="B293" s="2">
        <v>45264</v>
      </c>
      <c r="C293" t="s">
        <v>605</v>
      </c>
      <c r="D293" t="s">
        <v>21</v>
      </c>
      <c r="E293" t="s">
        <v>27</v>
      </c>
      <c r="F293" t="s">
        <v>44</v>
      </c>
      <c r="G293" t="s">
        <v>24</v>
      </c>
      <c r="H293">
        <v>2</v>
      </c>
      <c r="I293">
        <v>150</v>
      </c>
      <c r="J293">
        <v>2</v>
      </c>
      <c r="K293">
        <v>9</v>
      </c>
      <c r="L293" t="s">
        <v>33</v>
      </c>
    </row>
    <row r="294" spans="1:12">
      <c r="A294" t="s">
        <v>606</v>
      </c>
      <c r="B294" s="2">
        <v>45120</v>
      </c>
      <c r="C294" t="s">
        <v>607</v>
      </c>
      <c r="D294" t="s">
        <v>52</v>
      </c>
      <c r="E294" t="s">
        <v>31</v>
      </c>
      <c r="F294" t="s">
        <v>32</v>
      </c>
      <c r="G294" t="s">
        <v>24</v>
      </c>
      <c r="H294">
        <v>2</v>
      </c>
      <c r="I294">
        <v>500</v>
      </c>
      <c r="J294">
        <v>2</v>
      </c>
      <c r="K294">
        <v>3</v>
      </c>
      <c r="L294" t="s">
        <v>33</v>
      </c>
    </row>
    <row r="295" spans="1:12">
      <c r="A295" t="s">
        <v>608</v>
      </c>
      <c r="B295" s="2">
        <v>45236</v>
      </c>
      <c r="C295" t="s">
        <v>609</v>
      </c>
      <c r="D295" t="s">
        <v>52</v>
      </c>
      <c r="E295" t="s">
        <v>22</v>
      </c>
      <c r="F295" t="s">
        <v>44</v>
      </c>
      <c r="G295" t="s">
        <v>24</v>
      </c>
      <c r="H295">
        <v>3</v>
      </c>
      <c r="I295">
        <v>800</v>
      </c>
      <c r="J295">
        <v>5</v>
      </c>
      <c r="K295">
        <v>3</v>
      </c>
      <c r="L295" t="s">
        <v>49</v>
      </c>
    </row>
    <row r="296" spans="1:12">
      <c r="A296" t="s">
        <v>610</v>
      </c>
      <c r="B296" s="2">
        <v>45089</v>
      </c>
      <c r="C296" t="s">
        <v>611</v>
      </c>
      <c r="D296" t="s">
        <v>21</v>
      </c>
      <c r="E296" t="s">
        <v>27</v>
      </c>
      <c r="F296" t="s">
        <v>16</v>
      </c>
      <c r="G296" t="s">
        <v>24</v>
      </c>
      <c r="H296">
        <v>4</v>
      </c>
      <c r="I296">
        <v>300</v>
      </c>
      <c r="J296">
        <v>4</v>
      </c>
      <c r="K296">
        <v>6</v>
      </c>
      <c r="L296" t="s">
        <v>49</v>
      </c>
    </row>
    <row r="297" spans="1:12">
      <c r="A297" t="s">
        <v>612</v>
      </c>
      <c r="B297" s="2">
        <v>45134</v>
      </c>
      <c r="C297" t="s">
        <v>613</v>
      </c>
      <c r="D297" t="s">
        <v>14</v>
      </c>
      <c r="E297" t="s">
        <v>31</v>
      </c>
      <c r="F297" t="s">
        <v>65</v>
      </c>
      <c r="G297" t="s">
        <v>17</v>
      </c>
      <c r="H297">
        <v>4</v>
      </c>
      <c r="I297">
        <v>150</v>
      </c>
      <c r="J297">
        <v>4</v>
      </c>
      <c r="K297">
        <v>9</v>
      </c>
      <c r="L297" t="s">
        <v>18</v>
      </c>
    </row>
    <row r="298" spans="1:12">
      <c r="A298" t="s">
        <v>614</v>
      </c>
      <c r="B298" s="2">
        <v>45095</v>
      </c>
      <c r="C298" t="s">
        <v>615</v>
      </c>
      <c r="D298" t="s">
        <v>14</v>
      </c>
      <c r="E298" t="s">
        <v>22</v>
      </c>
      <c r="F298" t="s">
        <v>23</v>
      </c>
      <c r="G298" t="s">
        <v>17</v>
      </c>
      <c r="H298">
        <v>1</v>
      </c>
      <c r="I298">
        <v>300</v>
      </c>
      <c r="J298">
        <v>2</v>
      </c>
      <c r="K298">
        <v>7</v>
      </c>
      <c r="L298" t="s">
        <v>33</v>
      </c>
    </row>
    <row r="299" spans="1:12">
      <c r="A299" t="s">
        <v>616</v>
      </c>
      <c r="B299" s="2">
        <v>45087</v>
      </c>
      <c r="C299" t="s">
        <v>418</v>
      </c>
      <c r="D299" t="s">
        <v>14</v>
      </c>
      <c r="E299" t="s">
        <v>15</v>
      </c>
      <c r="F299" t="s">
        <v>23</v>
      </c>
      <c r="G299" t="s">
        <v>24</v>
      </c>
      <c r="H299">
        <v>3</v>
      </c>
      <c r="I299">
        <v>500</v>
      </c>
      <c r="J299">
        <v>3</v>
      </c>
      <c r="K299">
        <v>3</v>
      </c>
      <c r="L299" t="s">
        <v>49</v>
      </c>
    </row>
    <row r="300" spans="1:12">
      <c r="A300" t="s">
        <v>617</v>
      </c>
      <c r="B300" s="2">
        <v>44994</v>
      </c>
      <c r="C300" t="s">
        <v>618</v>
      </c>
      <c r="D300" t="s">
        <v>14</v>
      </c>
      <c r="E300" t="s">
        <v>31</v>
      </c>
      <c r="F300" t="s">
        <v>65</v>
      </c>
      <c r="G300" t="s">
        <v>17</v>
      </c>
      <c r="H300">
        <v>2</v>
      </c>
      <c r="I300">
        <v>1200</v>
      </c>
      <c r="J300">
        <v>3</v>
      </c>
      <c r="K300">
        <v>3</v>
      </c>
      <c r="L300" t="s">
        <v>49</v>
      </c>
    </row>
    <row r="301" spans="1:12">
      <c r="A301" t="s">
        <v>619</v>
      </c>
      <c r="B301" s="2">
        <v>45215</v>
      </c>
      <c r="C301" t="s">
        <v>620</v>
      </c>
      <c r="D301" t="s">
        <v>52</v>
      </c>
      <c r="E301" t="s">
        <v>31</v>
      </c>
      <c r="F301" t="s">
        <v>65</v>
      </c>
      <c r="G301" t="s">
        <v>24</v>
      </c>
      <c r="H301">
        <v>3</v>
      </c>
      <c r="I301">
        <v>1200</v>
      </c>
      <c r="J301">
        <v>1</v>
      </c>
      <c r="K301">
        <v>2</v>
      </c>
      <c r="L301" t="s">
        <v>28</v>
      </c>
    </row>
    <row r="302" spans="1:12">
      <c r="A302" t="s">
        <v>621</v>
      </c>
      <c r="B302" s="2">
        <v>45203</v>
      </c>
      <c r="C302" t="s">
        <v>622</v>
      </c>
      <c r="D302" t="s">
        <v>21</v>
      </c>
      <c r="E302" t="s">
        <v>22</v>
      </c>
      <c r="F302" t="s">
        <v>16</v>
      </c>
      <c r="G302" t="s">
        <v>24</v>
      </c>
      <c r="H302">
        <v>4</v>
      </c>
      <c r="I302">
        <v>800</v>
      </c>
      <c r="J302">
        <v>1</v>
      </c>
      <c r="K302">
        <v>9</v>
      </c>
      <c r="L302" t="s">
        <v>49</v>
      </c>
    </row>
    <row r="303" spans="1:12">
      <c r="A303" t="s">
        <v>623</v>
      </c>
      <c r="B303" s="2">
        <v>45230</v>
      </c>
      <c r="C303" t="s">
        <v>624</v>
      </c>
      <c r="D303" t="s">
        <v>14</v>
      </c>
      <c r="E303" t="s">
        <v>15</v>
      </c>
      <c r="F303" t="s">
        <v>44</v>
      </c>
      <c r="G303" t="s">
        <v>17</v>
      </c>
      <c r="H303">
        <v>4</v>
      </c>
      <c r="I303">
        <v>1200</v>
      </c>
      <c r="J303">
        <v>5</v>
      </c>
      <c r="K303">
        <v>3</v>
      </c>
      <c r="L303" t="s">
        <v>49</v>
      </c>
    </row>
    <row r="304" spans="1:12">
      <c r="A304" t="s">
        <v>625</v>
      </c>
      <c r="B304" s="2">
        <v>45061</v>
      </c>
      <c r="C304" t="s">
        <v>626</v>
      </c>
      <c r="D304" t="s">
        <v>52</v>
      </c>
      <c r="E304" t="s">
        <v>31</v>
      </c>
      <c r="F304" t="s">
        <v>23</v>
      </c>
      <c r="G304" t="s">
        <v>17</v>
      </c>
      <c r="H304">
        <v>1</v>
      </c>
      <c r="I304">
        <v>150</v>
      </c>
      <c r="J304">
        <v>2</v>
      </c>
      <c r="K304">
        <v>5</v>
      </c>
      <c r="L304" t="s">
        <v>33</v>
      </c>
    </row>
    <row r="305" spans="1:12">
      <c r="A305" t="s">
        <v>627</v>
      </c>
      <c r="B305" s="2">
        <v>45121</v>
      </c>
      <c r="C305" t="s">
        <v>628</v>
      </c>
      <c r="D305" t="s">
        <v>14</v>
      </c>
      <c r="E305" t="s">
        <v>27</v>
      </c>
      <c r="F305" t="s">
        <v>16</v>
      </c>
      <c r="G305" t="s">
        <v>17</v>
      </c>
      <c r="H305">
        <v>1</v>
      </c>
      <c r="I305">
        <v>1200</v>
      </c>
      <c r="J305">
        <v>1</v>
      </c>
      <c r="K305">
        <v>9</v>
      </c>
      <c r="L305" t="s">
        <v>18</v>
      </c>
    </row>
    <row r="306" spans="1:12">
      <c r="A306" t="s">
        <v>629</v>
      </c>
      <c r="B306" s="2">
        <v>45054</v>
      </c>
      <c r="C306" t="s">
        <v>630</v>
      </c>
      <c r="D306" t="s">
        <v>21</v>
      </c>
      <c r="E306" t="s">
        <v>27</v>
      </c>
      <c r="F306" t="s">
        <v>44</v>
      </c>
      <c r="G306" t="s">
        <v>24</v>
      </c>
      <c r="H306">
        <v>4</v>
      </c>
      <c r="I306">
        <v>800</v>
      </c>
      <c r="J306">
        <v>1</v>
      </c>
      <c r="K306">
        <v>8</v>
      </c>
      <c r="L306" t="s">
        <v>33</v>
      </c>
    </row>
    <row r="307" spans="1:12">
      <c r="A307" t="s">
        <v>631</v>
      </c>
      <c r="B307" s="2">
        <v>44959</v>
      </c>
      <c r="C307" t="s">
        <v>632</v>
      </c>
      <c r="D307" t="s">
        <v>52</v>
      </c>
      <c r="E307" t="s">
        <v>27</v>
      </c>
      <c r="F307" t="s">
        <v>16</v>
      </c>
      <c r="G307" t="s">
        <v>17</v>
      </c>
      <c r="H307">
        <v>2</v>
      </c>
      <c r="I307">
        <v>500</v>
      </c>
      <c r="J307">
        <v>2</v>
      </c>
      <c r="K307">
        <v>2</v>
      </c>
      <c r="L307" t="s">
        <v>18</v>
      </c>
    </row>
    <row r="308" spans="1:12">
      <c r="A308" t="s">
        <v>633</v>
      </c>
      <c r="B308" s="2">
        <v>45102</v>
      </c>
      <c r="C308" t="s">
        <v>634</v>
      </c>
      <c r="D308" t="s">
        <v>21</v>
      </c>
      <c r="E308" t="s">
        <v>15</v>
      </c>
      <c r="F308" t="s">
        <v>23</v>
      </c>
      <c r="G308" t="s">
        <v>24</v>
      </c>
      <c r="H308">
        <v>2</v>
      </c>
      <c r="I308">
        <v>500</v>
      </c>
      <c r="J308">
        <v>5</v>
      </c>
      <c r="K308">
        <v>3</v>
      </c>
      <c r="L308" t="s">
        <v>28</v>
      </c>
    </row>
    <row r="309" spans="1:12">
      <c r="A309" t="s">
        <v>635</v>
      </c>
      <c r="B309" s="2">
        <v>44948</v>
      </c>
      <c r="C309" t="s">
        <v>636</v>
      </c>
      <c r="D309" t="s">
        <v>21</v>
      </c>
      <c r="E309" t="s">
        <v>31</v>
      </c>
      <c r="F309" t="s">
        <v>65</v>
      </c>
      <c r="G309" t="s">
        <v>17</v>
      </c>
      <c r="H309">
        <v>3</v>
      </c>
      <c r="I309">
        <v>1200</v>
      </c>
      <c r="J309">
        <v>1</v>
      </c>
      <c r="K309">
        <v>2</v>
      </c>
      <c r="L309" t="s">
        <v>49</v>
      </c>
    </row>
    <row r="310" spans="1:12">
      <c r="A310" t="s">
        <v>637</v>
      </c>
      <c r="B310" s="2">
        <v>45164</v>
      </c>
      <c r="C310" t="s">
        <v>638</v>
      </c>
      <c r="D310" t="s">
        <v>52</v>
      </c>
      <c r="E310" t="s">
        <v>27</v>
      </c>
      <c r="F310" t="s">
        <v>65</v>
      </c>
      <c r="G310" t="s">
        <v>17</v>
      </c>
      <c r="H310">
        <v>4</v>
      </c>
      <c r="I310">
        <v>300</v>
      </c>
      <c r="J310">
        <v>5</v>
      </c>
      <c r="K310">
        <v>8</v>
      </c>
      <c r="L310" t="s">
        <v>28</v>
      </c>
    </row>
    <row r="311" spans="1:12">
      <c r="A311" t="s">
        <v>639</v>
      </c>
      <c r="B311" s="2">
        <v>45084</v>
      </c>
      <c r="C311" t="s">
        <v>325</v>
      </c>
      <c r="D311" t="s">
        <v>52</v>
      </c>
      <c r="E311" t="s">
        <v>15</v>
      </c>
      <c r="F311" t="s">
        <v>44</v>
      </c>
      <c r="G311" t="s">
        <v>24</v>
      </c>
      <c r="H311">
        <v>4</v>
      </c>
      <c r="I311">
        <v>500</v>
      </c>
      <c r="J311">
        <v>4</v>
      </c>
      <c r="K311">
        <v>6</v>
      </c>
      <c r="L311" t="s">
        <v>18</v>
      </c>
    </row>
    <row r="312" spans="1:12">
      <c r="A312" t="s">
        <v>640</v>
      </c>
      <c r="B312" s="2">
        <v>44964</v>
      </c>
      <c r="C312" t="s">
        <v>641</v>
      </c>
      <c r="D312" t="s">
        <v>52</v>
      </c>
      <c r="E312" t="s">
        <v>27</v>
      </c>
      <c r="F312" t="s">
        <v>32</v>
      </c>
      <c r="G312" t="s">
        <v>24</v>
      </c>
      <c r="H312">
        <v>2</v>
      </c>
      <c r="I312">
        <v>1200</v>
      </c>
      <c r="J312">
        <v>5</v>
      </c>
      <c r="K312">
        <v>6</v>
      </c>
      <c r="L312" t="s">
        <v>33</v>
      </c>
    </row>
    <row r="313" spans="1:12">
      <c r="A313" t="s">
        <v>642</v>
      </c>
      <c r="B313" s="2">
        <v>45156</v>
      </c>
      <c r="C313" t="s">
        <v>643</v>
      </c>
      <c r="D313" t="s">
        <v>52</v>
      </c>
      <c r="E313" t="s">
        <v>22</v>
      </c>
      <c r="F313" t="s">
        <v>44</v>
      </c>
      <c r="G313" t="s">
        <v>24</v>
      </c>
      <c r="H313">
        <v>2</v>
      </c>
      <c r="I313">
        <v>800</v>
      </c>
      <c r="J313">
        <v>3</v>
      </c>
      <c r="K313">
        <v>9</v>
      </c>
      <c r="L313" t="s">
        <v>33</v>
      </c>
    </row>
    <row r="314" spans="1:12">
      <c r="A314" t="s">
        <v>644</v>
      </c>
      <c r="B314" s="2">
        <v>45291</v>
      </c>
      <c r="C314" t="s">
        <v>645</v>
      </c>
      <c r="D314" t="s">
        <v>52</v>
      </c>
      <c r="E314" t="s">
        <v>31</v>
      </c>
      <c r="F314" t="s">
        <v>32</v>
      </c>
      <c r="G314" t="s">
        <v>24</v>
      </c>
      <c r="H314">
        <v>4</v>
      </c>
      <c r="I314">
        <v>1200</v>
      </c>
      <c r="J314">
        <v>3</v>
      </c>
      <c r="K314">
        <v>8</v>
      </c>
      <c r="L314" t="s">
        <v>28</v>
      </c>
    </row>
    <row r="315" spans="1:12">
      <c r="A315" t="s">
        <v>646</v>
      </c>
      <c r="B315" s="2">
        <v>44977</v>
      </c>
      <c r="C315" t="s">
        <v>647</v>
      </c>
      <c r="D315" t="s">
        <v>52</v>
      </c>
      <c r="E315" t="s">
        <v>31</v>
      </c>
      <c r="F315" t="s">
        <v>16</v>
      </c>
      <c r="G315" t="s">
        <v>24</v>
      </c>
      <c r="H315">
        <v>1</v>
      </c>
      <c r="I315">
        <v>500</v>
      </c>
      <c r="J315">
        <v>5</v>
      </c>
      <c r="K315">
        <v>4</v>
      </c>
      <c r="L315" t="s">
        <v>18</v>
      </c>
    </row>
    <row r="316" spans="1:12">
      <c r="A316" t="s">
        <v>648</v>
      </c>
      <c r="B316" s="2">
        <v>45190</v>
      </c>
      <c r="C316" t="s">
        <v>649</v>
      </c>
      <c r="D316" t="s">
        <v>52</v>
      </c>
      <c r="E316" t="s">
        <v>15</v>
      </c>
      <c r="F316" t="s">
        <v>16</v>
      </c>
      <c r="G316" t="s">
        <v>24</v>
      </c>
      <c r="H316">
        <v>4</v>
      </c>
      <c r="I316">
        <v>800</v>
      </c>
      <c r="J316">
        <v>3</v>
      </c>
      <c r="K316">
        <v>4</v>
      </c>
      <c r="L316" t="s">
        <v>28</v>
      </c>
    </row>
    <row r="317" spans="1:12">
      <c r="A317" t="s">
        <v>650</v>
      </c>
      <c r="B317" s="2">
        <v>45209</v>
      </c>
      <c r="C317" t="s">
        <v>651</v>
      </c>
      <c r="D317" t="s">
        <v>14</v>
      </c>
      <c r="E317" t="s">
        <v>15</v>
      </c>
      <c r="F317" t="s">
        <v>23</v>
      </c>
      <c r="G317" t="s">
        <v>24</v>
      </c>
      <c r="H317">
        <v>4</v>
      </c>
      <c r="I317">
        <v>1200</v>
      </c>
      <c r="J317">
        <v>4</v>
      </c>
      <c r="K317">
        <v>9</v>
      </c>
      <c r="L317" t="s">
        <v>28</v>
      </c>
    </row>
    <row r="318" spans="1:12">
      <c r="A318" t="s">
        <v>652</v>
      </c>
      <c r="B318" s="2">
        <v>44953</v>
      </c>
      <c r="C318" t="s">
        <v>653</v>
      </c>
      <c r="D318" t="s">
        <v>21</v>
      </c>
      <c r="E318" t="s">
        <v>31</v>
      </c>
      <c r="F318" t="s">
        <v>32</v>
      </c>
      <c r="G318" t="s">
        <v>24</v>
      </c>
      <c r="H318">
        <v>2</v>
      </c>
      <c r="I318">
        <v>150</v>
      </c>
      <c r="J318">
        <v>2</v>
      </c>
      <c r="K318">
        <v>1</v>
      </c>
      <c r="L318" t="s">
        <v>49</v>
      </c>
    </row>
    <row r="319" spans="1:12">
      <c r="A319" t="s">
        <v>654</v>
      </c>
      <c r="B319" s="2">
        <v>45152</v>
      </c>
      <c r="C319" t="s">
        <v>655</v>
      </c>
      <c r="D319" t="s">
        <v>52</v>
      </c>
      <c r="E319" t="s">
        <v>27</v>
      </c>
      <c r="F319" t="s">
        <v>23</v>
      </c>
      <c r="G319" t="s">
        <v>17</v>
      </c>
      <c r="H319">
        <v>2</v>
      </c>
      <c r="I319">
        <v>800</v>
      </c>
      <c r="J319">
        <v>3</v>
      </c>
      <c r="K319">
        <v>2</v>
      </c>
      <c r="L319" t="s">
        <v>28</v>
      </c>
    </row>
    <row r="320" spans="1:12">
      <c r="A320" t="s">
        <v>656</v>
      </c>
      <c r="B320" s="2">
        <v>45203</v>
      </c>
      <c r="C320" t="s">
        <v>657</v>
      </c>
      <c r="D320" t="s">
        <v>14</v>
      </c>
      <c r="E320" t="s">
        <v>27</v>
      </c>
      <c r="F320" t="s">
        <v>65</v>
      </c>
      <c r="G320" t="s">
        <v>24</v>
      </c>
      <c r="H320">
        <v>1</v>
      </c>
      <c r="I320">
        <v>150</v>
      </c>
      <c r="J320">
        <v>3</v>
      </c>
      <c r="K320">
        <v>2</v>
      </c>
      <c r="L320" t="s">
        <v>49</v>
      </c>
    </row>
    <row r="321" spans="1:12">
      <c r="A321" t="s">
        <v>658</v>
      </c>
      <c r="B321" s="2">
        <v>45212</v>
      </c>
      <c r="C321" t="s">
        <v>659</v>
      </c>
      <c r="D321" t="s">
        <v>14</v>
      </c>
      <c r="E321" t="s">
        <v>22</v>
      </c>
      <c r="F321" t="s">
        <v>32</v>
      </c>
      <c r="G321" t="s">
        <v>24</v>
      </c>
      <c r="H321">
        <v>1</v>
      </c>
      <c r="I321">
        <v>300</v>
      </c>
      <c r="J321">
        <v>5</v>
      </c>
      <c r="K321">
        <v>6</v>
      </c>
      <c r="L321" t="s">
        <v>49</v>
      </c>
    </row>
    <row r="322" spans="1:12">
      <c r="A322" t="s">
        <v>660</v>
      </c>
      <c r="B322" s="2">
        <v>45023</v>
      </c>
      <c r="C322" t="s">
        <v>661</v>
      </c>
      <c r="D322" t="s">
        <v>14</v>
      </c>
      <c r="E322" t="s">
        <v>27</v>
      </c>
      <c r="F322" t="s">
        <v>44</v>
      </c>
      <c r="G322" t="s">
        <v>17</v>
      </c>
      <c r="H322">
        <v>3</v>
      </c>
      <c r="I322">
        <v>800</v>
      </c>
      <c r="J322">
        <v>4</v>
      </c>
      <c r="K322">
        <v>4</v>
      </c>
      <c r="L322" t="s">
        <v>33</v>
      </c>
    </row>
    <row r="323" spans="1:12">
      <c r="A323" t="s">
        <v>662</v>
      </c>
      <c r="B323" s="2">
        <v>45210</v>
      </c>
      <c r="C323" t="s">
        <v>663</v>
      </c>
      <c r="D323" t="s">
        <v>21</v>
      </c>
      <c r="E323" t="s">
        <v>15</v>
      </c>
      <c r="F323" t="s">
        <v>65</v>
      </c>
      <c r="G323" t="s">
        <v>24</v>
      </c>
      <c r="H323">
        <v>4</v>
      </c>
      <c r="I323">
        <v>150</v>
      </c>
      <c r="J323">
        <v>2</v>
      </c>
      <c r="K323">
        <v>3</v>
      </c>
      <c r="L323" t="s">
        <v>49</v>
      </c>
    </row>
    <row r="324" spans="1:12">
      <c r="A324" t="s">
        <v>664</v>
      </c>
      <c r="B324" s="2">
        <v>45243</v>
      </c>
      <c r="C324" t="s">
        <v>665</v>
      </c>
      <c r="D324" t="s">
        <v>52</v>
      </c>
      <c r="E324" t="s">
        <v>15</v>
      </c>
      <c r="F324" t="s">
        <v>65</v>
      </c>
      <c r="G324" t="s">
        <v>17</v>
      </c>
      <c r="H324">
        <v>2</v>
      </c>
      <c r="I324">
        <v>500</v>
      </c>
      <c r="J324">
        <v>5</v>
      </c>
      <c r="K324">
        <v>3</v>
      </c>
      <c r="L324" t="s">
        <v>49</v>
      </c>
    </row>
    <row r="325" spans="1:12">
      <c r="A325" t="s">
        <v>666</v>
      </c>
      <c r="B325" s="2">
        <v>45230</v>
      </c>
      <c r="C325" t="s">
        <v>667</v>
      </c>
      <c r="D325" t="s">
        <v>14</v>
      </c>
      <c r="E325" t="s">
        <v>27</v>
      </c>
      <c r="F325" t="s">
        <v>44</v>
      </c>
      <c r="G325" t="s">
        <v>17</v>
      </c>
      <c r="H325">
        <v>1</v>
      </c>
      <c r="I325">
        <v>500</v>
      </c>
      <c r="J325">
        <v>5</v>
      </c>
      <c r="K325">
        <v>3</v>
      </c>
      <c r="L325" t="s">
        <v>33</v>
      </c>
    </row>
    <row r="326" spans="1:12">
      <c r="A326" t="s">
        <v>668</v>
      </c>
      <c r="B326" s="2">
        <v>45073</v>
      </c>
      <c r="C326" t="s">
        <v>669</v>
      </c>
      <c r="D326" t="s">
        <v>21</v>
      </c>
      <c r="E326" t="s">
        <v>15</v>
      </c>
      <c r="F326" t="s">
        <v>65</v>
      </c>
      <c r="G326" t="s">
        <v>24</v>
      </c>
      <c r="H326">
        <v>3</v>
      </c>
      <c r="I326">
        <v>300</v>
      </c>
      <c r="J326">
        <v>4</v>
      </c>
      <c r="K326">
        <v>6</v>
      </c>
      <c r="L326" t="s">
        <v>28</v>
      </c>
    </row>
    <row r="327" spans="1:12">
      <c r="A327" t="s">
        <v>670</v>
      </c>
      <c r="B327" s="2">
        <v>44930</v>
      </c>
      <c r="C327" t="s">
        <v>671</v>
      </c>
      <c r="D327" t="s">
        <v>21</v>
      </c>
      <c r="E327" t="s">
        <v>31</v>
      </c>
      <c r="F327" t="s">
        <v>32</v>
      </c>
      <c r="G327" t="s">
        <v>17</v>
      </c>
      <c r="H327">
        <v>3</v>
      </c>
      <c r="I327">
        <v>800</v>
      </c>
      <c r="J327">
        <v>2</v>
      </c>
      <c r="K327">
        <v>8</v>
      </c>
      <c r="L327" t="s">
        <v>18</v>
      </c>
    </row>
    <row r="328" spans="1:12">
      <c r="A328" t="s">
        <v>672</v>
      </c>
      <c r="B328" s="2">
        <v>44961</v>
      </c>
      <c r="C328" t="s">
        <v>673</v>
      </c>
      <c r="D328" t="s">
        <v>21</v>
      </c>
      <c r="E328" t="s">
        <v>31</v>
      </c>
      <c r="F328" t="s">
        <v>23</v>
      </c>
      <c r="G328" t="s">
        <v>24</v>
      </c>
      <c r="H328">
        <v>2</v>
      </c>
      <c r="I328">
        <v>800</v>
      </c>
      <c r="J328">
        <v>4</v>
      </c>
      <c r="K328">
        <v>7</v>
      </c>
      <c r="L328" t="s">
        <v>18</v>
      </c>
    </row>
    <row r="329" spans="1:12">
      <c r="A329" t="s">
        <v>674</v>
      </c>
      <c r="B329" s="2">
        <v>45118</v>
      </c>
      <c r="C329" t="s">
        <v>675</v>
      </c>
      <c r="D329" t="s">
        <v>14</v>
      </c>
      <c r="E329" t="s">
        <v>27</v>
      </c>
      <c r="F329" t="s">
        <v>65</v>
      </c>
      <c r="G329" t="s">
        <v>17</v>
      </c>
      <c r="H329">
        <v>2</v>
      </c>
      <c r="I329">
        <v>800</v>
      </c>
      <c r="J329">
        <v>2</v>
      </c>
      <c r="K329">
        <v>4</v>
      </c>
      <c r="L329" t="s">
        <v>18</v>
      </c>
    </row>
    <row r="330" spans="1:12">
      <c r="A330" t="s">
        <v>676</v>
      </c>
      <c r="B330" s="2">
        <v>44975</v>
      </c>
      <c r="C330" t="s">
        <v>677</v>
      </c>
      <c r="D330" t="s">
        <v>52</v>
      </c>
      <c r="E330" t="s">
        <v>31</v>
      </c>
      <c r="F330" t="s">
        <v>32</v>
      </c>
      <c r="G330" t="s">
        <v>17</v>
      </c>
      <c r="H330">
        <v>3</v>
      </c>
      <c r="I330">
        <v>300</v>
      </c>
      <c r="J330">
        <v>4</v>
      </c>
      <c r="K330">
        <v>4</v>
      </c>
      <c r="L330" t="s">
        <v>28</v>
      </c>
    </row>
    <row r="331" spans="1:12">
      <c r="A331" t="s">
        <v>678</v>
      </c>
      <c r="B331" s="2">
        <v>44943</v>
      </c>
      <c r="C331" t="s">
        <v>679</v>
      </c>
      <c r="D331" t="s">
        <v>14</v>
      </c>
      <c r="E331" t="s">
        <v>31</v>
      </c>
      <c r="F331" t="s">
        <v>16</v>
      </c>
      <c r="G331" t="s">
        <v>17</v>
      </c>
      <c r="H331">
        <v>1</v>
      </c>
      <c r="I331">
        <v>800</v>
      </c>
      <c r="J331">
        <v>5</v>
      </c>
      <c r="K331">
        <v>2</v>
      </c>
      <c r="L331" t="s">
        <v>49</v>
      </c>
    </row>
    <row r="332" spans="1:12">
      <c r="A332" t="s">
        <v>680</v>
      </c>
      <c r="B332" s="2">
        <v>45098</v>
      </c>
      <c r="C332" t="s">
        <v>681</v>
      </c>
      <c r="D332" t="s">
        <v>14</v>
      </c>
      <c r="E332" t="s">
        <v>22</v>
      </c>
      <c r="F332" t="s">
        <v>32</v>
      </c>
      <c r="G332" t="s">
        <v>24</v>
      </c>
      <c r="H332">
        <v>3</v>
      </c>
      <c r="I332">
        <v>500</v>
      </c>
      <c r="J332">
        <v>5</v>
      </c>
      <c r="K332">
        <v>1</v>
      </c>
      <c r="L332" t="s">
        <v>18</v>
      </c>
    </row>
    <row r="333" spans="1:12">
      <c r="A333" t="s">
        <v>682</v>
      </c>
      <c r="B333" s="2">
        <v>45146</v>
      </c>
      <c r="C333" t="s">
        <v>683</v>
      </c>
      <c r="D333" t="s">
        <v>52</v>
      </c>
      <c r="E333" t="s">
        <v>22</v>
      </c>
      <c r="F333" t="s">
        <v>23</v>
      </c>
      <c r="G333" t="s">
        <v>24</v>
      </c>
      <c r="H333">
        <v>4</v>
      </c>
      <c r="I333">
        <v>150</v>
      </c>
      <c r="J333">
        <v>1</v>
      </c>
      <c r="K333">
        <v>9</v>
      </c>
      <c r="L333" t="s">
        <v>28</v>
      </c>
    </row>
    <row r="334" spans="1:12">
      <c r="A334" t="s">
        <v>684</v>
      </c>
      <c r="B334" s="2">
        <v>45084</v>
      </c>
      <c r="C334" t="s">
        <v>685</v>
      </c>
      <c r="D334" t="s">
        <v>52</v>
      </c>
      <c r="E334" t="s">
        <v>31</v>
      </c>
      <c r="F334" t="s">
        <v>32</v>
      </c>
      <c r="G334" t="s">
        <v>17</v>
      </c>
      <c r="H334">
        <v>4</v>
      </c>
      <c r="I334">
        <v>500</v>
      </c>
      <c r="J334">
        <v>3</v>
      </c>
      <c r="K334">
        <v>2</v>
      </c>
      <c r="L334" t="s">
        <v>49</v>
      </c>
    </row>
    <row r="335" spans="1:12">
      <c r="A335" t="s">
        <v>686</v>
      </c>
      <c r="B335" s="2">
        <v>44972</v>
      </c>
      <c r="C335" t="s">
        <v>687</v>
      </c>
      <c r="D335" t="s">
        <v>52</v>
      </c>
      <c r="E335" t="s">
        <v>27</v>
      </c>
      <c r="F335" t="s">
        <v>44</v>
      </c>
      <c r="G335" t="s">
        <v>17</v>
      </c>
      <c r="H335">
        <v>2</v>
      </c>
      <c r="I335">
        <v>500</v>
      </c>
      <c r="J335">
        <v>4</v>
      </c>
      <c r="K335">
        <v>8</v>
      </c>
      <c r="L335" t="s">
        <v>33</v>
      </c>
    </row>
    <row r="336" spans="1:12">
      <c r="A336" t="s">
        <v>688</v>
      </c>
      <c r="B336" s="2">
        <v>44932</v>
      </c>
      <c r="C336" t="s">
        <v>299</v>
      </c>
      <c r="D336" t="s">
        <v>21</v>
      </c>
      <c r="E336" t="s">
        <v>22</v>
      </c>
      <c r="F336" t="s">
        <v>23</v>
      </c>
      <c r="G336" t="s">
        <v>24</v>
      </c>
      <c r="H336">
        <v>1</v>
      </c>
      <c r="I336">
        <v>150</v>
      </c>
      <c r="J336">
        <v>1</v>
      </c>
      <c r="K336">
        <v>9</v>
      </c>
      <c r="L336" t="s">
        <v>18</v>
      </c>
    </row>
    <row r="337" spans="1:12">
      <c r="A337" t="s">
        <v>689</v>
      </c>
      <c r="B337" s="2">
        <v>45025</v>
      </c>
      <c r="C337" t="s">
        <v>690</v>
      </c>
      <c r="D337" t="s">
        <v>52</v>
      </c>
      <c r="E337" t="s">
        <v>15</v>
      </c>
      <c r="F337" t="s">
        <v>16</v>
      </c>
      <c r="G337" t="s">
        <v>24</v>
      </c>
      <c r="H337">
        <v>1</v>
      </c>
      <c r="I337">
        <v>500</v>
      </c>
      <c r="J337">
        <v>3</v>
      </c>
      <c r="K337">
        <v>4</v>
      </c>
      <c r="L337" t="s">
        <v>49</v>
      </c>
    </row>
    <row r="338" spans="1:12">
      <c r="A338" t="s">
        <v>691</v>
      </c>
      <c r="B338" s="2">
        <v>45159</v>
      </c>
      <c r="C338" t="s">
        <v>692</v>
      </c>
      <c r="D338" t="s">
        <v>14</v>
      </c>
      <c r="E338" t="s">
        <v>15</v>
      </c>
      <c r="F338" t="s">
        <v>44</v>
      </c>
      <c r="G338" t="s">
        <v>17</v>
      </c>
      <c r="H338">
        <v>4</v>
      </c>
      <c r="I338">
        <v>300</v>
      </c>
      <c r="J338">
        <v>4</v>
      </c>
      <c r="K338">
        <v>8</v>
      </c>
      <c r="L338" t="s">
        <v>18</v>
      </c>
    </row>
    <row r="339" spans="1:12">
      <c r="A339" t="s">
        <v>693</v>
      </c>
      <c r="B339" s="2">
        <v>44963</v>
      </c>
      <c r="C339" t="s">
        <v>694</v>
      </c>
      <c r="D339" t="s">
        <v>52</v>
      </c>
      <c r="E339" t="s">
        <v>15</v>
      </c>
      <c r="F339" t="s">
        <v>32</v>
      </c>
      <c r="G339" t="s">
        <v>17</v>
      </c>
      <c r="H339">
        <v>3</v>
      </c>
      <c r="I339">
        <v>150</v>
      </c>
      <c r="J339">
        <v>2</v>
      </c>
      <c r="K339">
        <v>9</v>
      </c>
      <c r="L339" t="s">
        <v>18</v>
      </c>
    </row>
    <row r="340" spans="1:12">
      <c r="A340" t="s">
        <v>695</v>
      </c>
      <c r="B340" s="2">
        <v>45206</v>
      </c>
      <c r="C340" t="s">
        <v>523</v>
      </c>
      <c r="D340" t="s">
        <v>14</v>
      </c>
      <c r="E340" t="s">
        <v>27</v>
      </c>
      <c r="F340" t="s">
        <v>23</v>
      </c>
      <c r="G340" t="s">
        <v>24</v>
      </c>
      <c r="H340">
        <v>2</v>
      </c>
      <c r="I340">
        <v>500</v>
      </c>
      <c r="J340">
        <v>3</v>
      </c>
      <c r="K340">
        <v>5</v>
      </c>
      <c r="L340" t="s">
        <v>18</v>
      </c>
    </row>
    <row r="341" spans="1:12">
      <c r="A341" t="s">
        <v>696</v>
      </c>
      <c r="B341" s="2">
        <v>45275</v>
      </c>
      <c r="C341" t="s">
        <v>697</v>
      </c>
      <c r="D341" t="s">
        <v>21</v>
      </c>
      <c r="E341" t="s">
        <v>31</v>
      </c>
      <c r="F341" t="s">
        <v>16</v>
      </c>
      <c r="G341" t="s">
        <v>24</v>
      </c>
      <c r="H341">
        <v>3</v>
      </c>
      <c r="I341">
        <v>1200</v>
      </c>
      <c r="J341">
        <v>5</v>
      </c>
      <c r="K341">
        <v>7</v>
      </c>
      <c r="L341" t="s">
        <v>49</v>
      </c>
    </row>
    <row r="342" spans="1:12">
      <c r="A342" t="s">
        <v>698</v>
      </c>
      <c r="B342" s="2">
        <v>45228</v>
      </c>
      <c r="C342" t="s">
        <v>581</v>
      </c>
      <c r="D342" t="s">
        <v>14</v>
      </c>
      <c r="E342" t="s">
        <v>15</v>
      </c>
      <c r="F342" t="s">
        <v>44</v>
      </c>
      <c r="G342" t="s">
        <v>24</v>
      </c>
      <c r="H342">
        <v>3</v>
      </c>
      <c r="I342">
        <v>500</v>
      </c>
      <c r="J342">
        <v>1</v>
      </c>
      <c r="K342">
        <v>4</v>
      </c>
      <c r="L342" t="s">
        <v>28</v>
      </c>
    </row>
    <row r="343" spans="1:12">
      <c r="A343" t="s">
        <v>699</v>
      </c>
      <c r="B343" s="2">
        <v>45107</v>
      </c>
      <c r="C343" t="s">
        <v>700</v>
      </c>
      <c r="D343" t="s">
        <v>14</v>
      </c>
      <c r="E343" t="s">
        <v>27</v>
      </c>
      <c r="F343" t="s">
        <v>16</v>
      </c>
      <c r="G343" t="s">
        <v>24</v>
      </c>
      <c r="H343">
        <v>3</v>
      </c>
      <c r="I343">
        <v>300</v>
      </c>
      <c r="J343">
        <v>3</v>
      </c>
      <c r="K343">
        <v>1</v>
      </c>
      <c r="L343" t="s">
        <v>49</v>
      </c>
    </row>
    <row r="344" spans="1:12">
      <c r="A344" t="s">
        <v>701</v>
      </c>
      <c r="B344" s="2">
        <v>45021</v>
      </c>
      <c r="C344" t="s">
        <v>702</v>
      </c>
      <c r="D344" t="s">
        <v>52</v>
      </c>
      <c r="E344" t="s">
        <v>22</v>
      </c>
      <c r="F344" t="s">
        <v>32</v>
      </c>
      <c r="G344" t="s">
        <v>24</v>
      </c>
      <c r="H344">
        <v>1</v>
      </c>
      <c r="I344">
        <v>800</v>
      </c>
      <c r="J344">
        <v>3</v>
      </c>
      <c r="K344">
        <v>3</v>
      </c>
      <c r="L344" t="s">
        <v>18</v>
      </c>
    </row>
    <row r="345" spans="1:12">
      <c r="A345" t="s">
        <v>703</v>
      </c>
      <c r="B345" s="2">
        <v>45025</v>
      </c>
      <c r="C345" t="s">
        <v>704</v>
      </c>
      <c r="D345" t="s">
        <v>52</v>
      </c>
      <c r="E345" t="s">
        <v>31</v>
      </c>
      <c r="F345" t="s">
        <v>16</v>
      </c>
      <c r="G345" t="s">
        <v>17</v>
      </c>
      <c r="H345">
        <v>4</v>
      </c>
      <c r="I345">
        <v>500</v>
      </c>
      <c r="J345">
        <v>5</v>
      </c>
      <c r="K345">
        <v>5</v>
      </c>
      <c r="L345" t="s">
        <v>49</v>
      </c>
    </row>
    <row r="346" spans="1:12">
      <c r="A346" t="s">
        <v>705</v>
      </c>
      <c r="B346" s="2">
        <v>45114</v>
      </c>
      <c r="C346" t="s">
        <v>275</v>
      </c>
      <c r="D346" t="s">
        <v>14</v>
      </c>
      <c r="E346" t="s">
        <v>22</v>
      </c>
      <c r="F346" t="s">
        <v>65</v>
      </c>
      <c r="G346" t="s">
        <v>24</v>
      </c>
      <c r="H346">
        <v>1</v>
      </c>
      <c r="I346">
        <v>800</v>
      </c>
      <c r="J346">
        <v>4</v>
      </c>
      <c r="K346">
        <v>3</v>
      </c>
      <c r="L346" t="s">
        <v>33</v>
      </c>
    </row>
    <row r="347" spans="1:12">
      <c r="A347" t="s">
        <v>706</v>
      </c>
      <c r="B347" s="2">
        <v>45042</v>
      </c>
      <c r="C347" t="s">
        <v>192</v>
      </c>
      <c r="D347" t="s">
        <v>52</v>
      </c>
      <c r="E347" t="s">
        <v>27</v>
      </c>
      <c r="F347" t="s">
        <v>44</v>
      </c>
      <c r="G347" t="s">
        <v>17</v>
      </c>
      <c r="H347">
        <v>4</v>
      </c>
      <c r="I347">
        <v>1200</v>
      </c>
      <c r="J347">
        <v>2</v>
      </c>
      <c r="K347">
        <v>7</v>
      </c>
      <c r="L347" t="s">
        <v>28</v>
      </c>
    </row>
    <row r="348" spans="1:12">
      <c r="A348" t="s">
        <v>707</v>
      </c>
      <c r="B348" s="2">
        <v>45117</v>
      </c>
      <c r="C348" t="s">
        <v>708</v>
      </c>
      <c r="D348" t="s">
        <v>21</v>
      </c>
      <c r="E348" t="s">
        <v>15</v>
      </c>
      <c r="F348" t="s">
        <v>16</v>
      </c>
      <c r="G348" t="s">
        <v>24</v>
      </c>
      <c r="H348">
        <v>2</v>
      </c>
      <c r="I348">
        <v>500</v>
      </c>
      <c r="J348">
        <v>5</v>
      </c>
      <c r="K348">
        <v>9</v>
      </c>
      <c r="L348" t="s">
        <v>49</v>
      </c>
    </row>
    <row r="349" spans="1:12">
      <c r="A349" t="s">
        <v>709</v>
      </c>
      <c r="B349" s="2">
        <v>45179</v>
      </c>
      <c r="C349" t="s">
        <v>710</v>
      </c>
      <c r="D349" t="s">
        <v>21</v>
      </c>
      <c r="E349" t="s">
        <v>15</v>
      </c>
      <c r="F349" t="s">
        <v>32</v>
      </c>
      <c r="G349" t="s">
        <v>17</v>
      </c>
      <c r="H349">
        <v>2</v>
      </c>
      <c r="I349">
        <v>150</v>
      </c>
      <c r="J349">
        <v>2</v>
      </c>
      <c r="K349">
        <v>6</v>
      </c>
      <c r="L349" t="s">
        <v>33</v>
      </c>
    </row>
    <row r="350" spans="1:12">
      <c r="A350" t="s">
        <v>711</v>
      </c>
      <c r="B350" s="2">
        <v>45087</v>
      </c>
      <c r="C350" t="s">
        <v>712</v>
      </c>
      <c r="D350" t="s">
        <v>52</v>
      </c>
      <c r="E350" t="s">
        <v>27</v>
      </c>
      <c r="F350" t="s">
        <v>32</v>
      </c>
      <c r="G350" t="s">
        <v>24</v>
      </c>
      <c r="H350">
        <v>3</v>
      </c>
      <c r="I350">
        <v>800</v>
      </c>
      <c r="J350">
        <v>4</v>
      </c>
      <c r="K350">
        <v>1</v>
      </c>
      <c r="L350" t="s">
        <v>28</v>
      </c>
    </row>
    <row r="351" spans="1:12">
      <c r="A351" t="s">
        <v>713</v>
      </c>
      <c r="B351" s="2">
        <v>45182</v>
      </c>
      <c r="C351" t="s">
        <v>714</v>
      </c>
      <c r="D351" t="s">
        <v>21</v>
      </c>
      <c r="E351" t="s">
        <v>15</v>
      </c>
      <c r="F351" t="s">
        <v>16</v>
      </c>
      <c r="G351" t="s">
        <v>24</v>
      </c>
      <c r="H351">
        <v>4</v>
      </c>
      <c r="I351">
        <v>1200</v>
      </c>
      <c r="J351">
        <v>3</v>
      </c>
      <c r="K351">
        <v>7</v>
      </c>
      <c r="L351" t="s">
        <v>33</v>
      </c>
    </row>
    <row r="352" spans="1:12">
      <c r="A352" t="s">
        <v>715</v>
      </c>
      <c r="B352" s="2">
        <v>45249</v>
      </c>
      <c r="C352" t="s">
        <v>716</v>
      </c>
      <c r="D352" t="s">
        <v>52</v>
      </c>
      <c r="E352" t="s">
        <v>31</v>
      </c>
      <c r="F352" t="s">
        <v>32</v>
      </c>
      <c r="G352" t="s">
        <v>17</v>
      </c>
      <c r="H352">
        <v>4</v>
      </c>
      <c r="I352">
        <v>150</v>
      </c>
      <c r="J352">
        <v>2</v>
      </c>
      <c r="K352">
        <v>3</v>
      </c>
      <c r="L352" t="s">
        <v>28</v>
      </c>
    </row>
    <row r="353" spans="1:12">
      <c r="A353" t="s">
        <v>717</v>
      </c>
      <c r="B353" s="2">
        <v>45054</v>
      </c>
      <c r="C353" t="s">
        <v>718</v>
      </c>
      <c r="D353" t="s">
        <v>14</v>
      </c>
      <c r="E353" t="s">
        <v>27</v>
      </c>
      <c r="F353" t="s">
        <v>23</v>
      </c>
      <c r="G353" t="s">
        <v>17</v>
      </c>
      <c r="H353">
        <v>4</v>
      </c>
      <c r="I353">
        <v>150</v>
      </c>
      <c r="J353">
        <v>1</v>
      </c>
      <c r="K353">
        <v>5</v>
      </c>
      <c r="L353" t="s">
        <v>49</v>
      </c>
    </row>
    <row r="354" spans="1:12">
      <c r="A354" t="s">
        <v>719</v>
      </c>
      <c r="B354" s="2">
        <v>44944</v>
      </c>
      <c r="C354" t="s">
        <v>720</v>
      </c>
      <c r="D354" t="s">
        <v>14</v>
      </c>
      <c r="E354" t="s">
        <v>22</v>
      </c>
      <c r="F354" t="s">
        <v>23</v>
      </c>
      <c r="G354" t="s">
        <v>24</v>
      </c>
      <c r="H354">
        <v>3</v>
      </c>
      <c r="I354">
        <v>150</v>
      </c>
      <c r="J354">
        <v>1</v>
      </c>
      <c r="K354">
        <v>4</v>
      </c>
      <c r="L354" t="s">
        <v>33</v>
      </c>
    </row>
    <row r="355" spans="1:12">
      <c r="A355" t="s">
        <v>721</v>
      </c>
      <c r="B355" s="2">
        <v>45207</v>
      </c>
      <c r="C355" t="s">
        <v>722</v>
      </c>
      <c r="D355" t="s">
        <v>21</v>
      </c>
      <c r="E355" t="s">
        <v>27</v>
      </c>
      <c r="F355" t="s">
        <v>23</v>
      </c>
      <c r="G355" t="s">
        <v>24</v>
      </c>
      <c r="H355">
        <v>3</v>
      </c>
      <c r="I355">
        <v>150</v>
      </c>
      <c r="J355">
        <v>5</v>
      </c>
      <c r="K355">
        <v>5</v>
      </c>
      <c r="L355" t="s">
        <v>18</v>
      </c>
    </row>
    <row r="356" spans="1:12">
      <c r="A356" t="s">
        <v>723</v>
      </c>
      <c r="B356" s="2">
        <v>45149</v>
      </c>
      <c r="C356" t="s">
        <v>724</v>
      </c>
      <c r="D356" t="s">
        <v>52</v>
      </c>
      <c r="E356" t="s">
        <v>31</v>
      </c>
      <c r="F356" t="s">
        <v>65</v>
      </c>
      <c r="G356" t="s">
        <v>24</v>
      </c>
      <c r="H356">
        <v>2</v>
      </c>
      <c r="I356">
        <v>500</v>
      </c>
      <c r="J356">
        <v>4</v>
      </c>
      <c r="K356">
        <v>5</v>
      </c>
      <c r="L356" t="s">
        <v>33</v>
      </c>
    </row>
    <row r="357" spans="1:12">
      <c r="A357" t="s">
        <v>725</v>
      </c>
      <c r="B357" s="2">
        <v>44980</v>
      </c>
      <c r="C357" t="s">
        <v>726</v>
      </c>
      <c r="D357" t="s">
        <v>52</v>
      </c>
      <c r="E357" t="s">
        <v>31</v>
      </c>
      <c r="F357" t="s">
        <v>16</v>
      </c>
      <c r="G357" t="s">
        <v>24</v>
      </c>
      <c r="H357">
        <v>1</v>
      </c>
      <c r="I357">
        <v>500</v>
      </c>
      <c r="J357">
        <v>5</v>
      </c>
      <c r="K357">
        <v>6</v>
      </c>
      <c r="L357" t="s">
        <v>28</v>
      </c>
    </row>
    <row r="358" spans="1:12">
      <c r="A358" t="s">
        <v>727</v>
      </c>
      <c r="B358" s="2">
        <v>44984</v>
      </c>
      <c r="C358" t="s">
        <v>728</v>
      </c>
      <c r="D358" t="s">
        <v>21</v>
      </c>
      <c r="E358" t="s">
        <v>27</v>
      </c>
      <c r="F358" t="s">
        <v>65</v>
      </c>
      <c r="G358" t="s">
        <v>24</v>
      </c>
      <c r="H358">
        <v>4</v>
      </c>
      <c r="I358">
        <v>500</v>
      </c>
      <c r="J358">
        <v>5</v>
      </c>
      <c r="K358">
        <v>6</v>
      </c>
      <c r="L358" t="s">
        <v>49</v>
      </c>
    </row>
    <row r="359" spans="1:12">
      <c r="A359" t="s">
        <v>729</v>
      </c>
      <c r="B359" s="2">
        <v>45249</v>
      </c>
      <c r="C359" t="s">
        <v>730</v>
      </c>
      <c r="D359" t="s">
        <v>14</v>
      </c>
      <c r="E359" t="s">
        <v>27</v>
      </c>
      <c r="F359" t="s">
        <v>32</v>
      </c>
      <c r="G359" t="s">
        <v>17</v>
      </c>
      <c r="H359">
        <v>4</v>
      </c>
      <c r="I359">
        <v>1200</v>
      </c>
      <c r="J359">
        <v>5</v>
      </c>
      <c r="K359">
        <v>8</v>
      </c>
      <c r="L359" t="s">
        <v>28</v>
      </c>
    </row>
    <row r="360" spans="1:12">
      <c r="A360" t="s">
        <v>731</v>
      </c>
      <c r="B360" s="2">
        <v>45286</v>
      </c>
      <c r="C360" t="s">
        <v>732</v>
      </c>
      <c r="D360" t="s">
        <v>21</v>
      </c>
      <c r="E360" t="s">
        <v>15</v>
      </c>
      <c r="F360" t="s">
        <v>65</v>
      </c>
      <c r="G360" t="s">
        <v>17</v>
      </c>
      <c r="H360">
        <v>1</v>
      </c>
      <c r="I360">
        <v>1200</v>
      </c>
      <c r="J360">
        <v>1</v>
      </c>
      <c r="K360">
        <v>8</v>
      </c>
      <c r="L360" t="s">
        <v>33</v>
      </c>
    </row>
    <row r="361" spans="1:12">
      <c r="A361" t="s">
        <v>733</v>
      </c>
      <c r="B361" s="2">
        <v>45100</v>
      </c>
      <c r="C361" t="s">
        <v>734</v>
      </c>
      <c r="D361" t="s">
        <v>14</v>
      </c>
      <c r="E361" t="s">
        <v>31</v>
      </c>
      <c r="F361" t="s">
        <v>32</v>
      </c>
      <c r="G361" t="s">
        <v>24</v>
      </c>
      <c r="H361">
        <v>4</v>
      </c>
      <c r="I361">
        <v>1200</v>
      </c>
      <c r="J361">
        <v>1</v>
      </c>
      <c r="K361">
        <v>9</v>
      </c>
      <c r="L361" t="s">
        <v>33</v>
      </c>
    </row>
    <row r="362" spans="1:12">
      <c r="A362" t="s">
        <v>735</v>
      </c>
      <c r="B362" s="2">
        <v>45206</v>
      </c>
      <c r="C362" t="s">
        <v>736</v>
      </c>
      <c r="D362" t="s">
        <v>52</v>
      </c>
      <c r="E362" t="s">
        <v>27</v>
      </c>
      <c r="F362" t="s">
        <v>32</v>
      </c>
      <c r="G362" t="s">
        <v>17</v>
      </c>
      <c r="H362">
        <v>3</v>
      </c>
      <c r="I362">
        <v>300</v>
      </c>
      <c r="J362">
        <v>5</v>
      </c>
      <c r="K362">
        <v>8</v>
      </c>
      <c r="L362" t="s">
        <v>18</v>
      </c>
    </row>
    <row r="363" spans="1:12">
      <c r="A363" t="s">
        <v>737</v>
      </c>
      <c r="B363" s="2">
        <v>45040</v>
      </c>
      <c r="C363" t="s">
        <v>738</v>
      </c>
      <c r="D363" t="s">
        <v>14</v>
      </c>
      <c r="E363" t="s">
        <v>27</v>
      </c>
      <c r="F363" t="s">
        <v>44</v>
      </c>
      <c r="G363" t="s">
        <v>17</v>
      </c>
      <c r="H363">
        <v>3</v>
      </c>
      <c r="I363">
        <v>1200</v>
      </c>
      <c r="J363">
        <v>1</v>
      </c>
      <c r="K363">
        <v>2</v>
      </c>
      <c r="L363" t="s">
        <v>49</v>
      </c>
    </row>
    <row r="364" spans="1:12">
      <c r="A364" t="s">
        <v>739</v>
      </c>
      <c r="B364" s="2">
        <v>45214</v>
      </c>
      <c r="C364" t="s">
        <v>740</v>
      </c>
      <c r="D364" t="s">
        <v>21</v>
      </c>
      <c r="E364" t="s">
        <v>31</v>
      </c>
      <c r="F364" t="s">
        <v>23</v>
      </c>
      <c r="G364" t="s">
        <v>17</v>
      </c>
      <c r="H364">
        <v>4</v>
      </c>
      <c r="I364">
        <v>500</v>
      </c>
      <c r="J364">
        <v>4</v>
      </c>
      <c r="K364">
        <v>1</v>
      </c>
      <c r="L364" t="s">
        <v>49</v>
      </c>
    </row>
    <row r="365" spans="1:12">
      <c r="A365" t="s">
        <v>741</v>
      </c>
      <c r="B365" s="2">
        <v>45268</v>
      </c>
      <c r="C365" t="s">
        <v>742</v>
      </c>
      <c r="D365" t="s">
        <v>52</v>
      </c>
      <c r="E365" t="s">
        <v>27</v>
      </c>
      <c r="F365" t="s">
        <v>32</v>
      </c>
      <c r="G365" t="s">
        <v>24</v>
      </c>
      <c r="H365">
        <v>3</v>
      </c>
      <c r="I365">
        <v>500</v>
      </c>
      <c r="J365">
        <v>5</v>
      </c>
      <c r="K365">
        <v>2</v>
      </c>
      <c r="L365" t="s">
        <v>33</v>
      </c>
    </row>
    <row r="366" spans="1:12">
      <c r="A366" t="s">
        <v>743</v>
      </c>
      <c r="B366" s="2">
        <v>45077</v>
      </c>
      <c r="C366" t="s">
        <v>744</v>
      </c>
      <c r="D366" t="s">
        <v>21</v>
      </c>
      <c r="E366" t="s">
        <v>15</v>
      </c>
      <c r="F366" t="s">
        <v>44</v>
      </c>
      <c r="G366" t="s">
        <v>17</v>
      </c>
      <c r="H366">
        <v>3</v>
      </c>
      <c r="I366">
        <v>300</v>
      </c>
      <c r="J366">
        <v>1</v>
      </c>
      <c r="K366">
        <v>2</v>
      </c>
      <c r="L366" t="s">
        <v>49</v>
      </c>
    </row>
    <row r="367" spans="1:12">
      <c r="A367" t="s">
        <v>745</v>
      </c>
      <c r="B367" s="2">
        <v>45053</v>
      </c>
      <c r="C367" t="s">
        <v>746</v>
      </c>
      <c r="D367" t="s">
        <v>21</v>
      </c>
      <c r="E367" t="s">
        <v>31</v>
      </c>
      <c r="F367" t="s">
        <v>23</v>
      </c>
      <c r="G367" t="s">
        <v>24</v>
      </c>
      <c r="H367">
        <v>4</v>
      </c>
      <c r="I367">
        <v>300</v>
      </c>
      <c r="J367">
        <v>2</v>
      </c>
      <c r="K367">
        <v>3</v>
      </c>
      <c r="L367" t="s">
        <v>18</v>
      </c>
    </row>
    <row r="368" spans="1:12">
      <c r="A368" t="s">
        <v>747</v>
      </c>
      <c r="B368" s="2">
        <v>45081</v>
      </c>
      <c r="C368" t="s">
        <v>748</v>
      </c>
      <c r="D368" t="s">
        <v>14</v>
      </c>
      <c r="E368" t="s">
        <v>15</v>
      </c>
      <c r="F368" t="s">
        <v>32</v>
      </c>
      <c r="G368" t="s">
        <v>17</v>
      </c>
      <c r="H368">
        <v>2</v>
      </c>
      <c r="I368">
        <v>1200</v>
      </c>
      <c r="J368">
        <v>5</v>
      </c>
      <c r="K368">
        <v>7</v>
      </c>
      <c r="L368" t="s">
        <v>28</v>
      </c>
    </row>
    <row r="369" spans="1:12">
      <c r="A369" t="s">
        <v>749</v>
      </c>
      <c r="B369" s="2">
        <v>45199</v>
      </c>
      <c r="C369" t="s">
        <v>750</v>
      </c>
      <c r="D369" t="s">
        <v>21</v>
      </c>
      <c r="E369" t="s">
        <v>15</v>
      </c>
      <c r="F369" t="s">
        <v>32</v>
      </c>
      <c r="G369" t="s">
        <v>24</v>
      </c>
      <c r="H369">
        <v>1</v>
      </c>
      <c r="I369">
        <v>800</v>
      </c>
      <c r="J369">
        <v>5</v>
      </c>
      <c r="K369">
        <v>2</v>
      </c>
      <c r="L369" t="s">
        <v>49</v>
      </c>
    </row>
    <row r="370" spans="1:12">
      <c r="A370" t="s">
        <v>751</v>
      </c>
      <c r="B370" s="2">
        <v>45030</v>
      </c>
      <c r="C370" t="s">
        <v>752</v>
      </c>
      <c r="D370" t="s">
        <v>14</v>
      </c>
      <c r="E370" t="s">
        <v>15</v>
      </c>
      <c r="F370" t="s">
        <v>65</v>
      </c>
      <c r="G370" t="s">
        <v>17</v>
      </c>
      <c r="H370">
        <v>3</v>
      </c>
      <c r="I370">
        <v>300</v>
      </c>
      <c r="J370">
        <v>4</v>
      </c>
      <c r="K370">
        <v>1</v>
      </c>
      <c r="L370" t="s">
        <v>33</v>
      </c>
    </row>
    <row r="371" spans="1:12">
      <c r="A371" t="s">
        <v>753</v>
      </c>
      <c r="B371" s="2">
        <v>45225</v>
      </c>
      <c r="C371" t="s">
        <v>452</v>
      </c>
      <c r="D371" t="s">
        <v>52</v>
      </c>
      <c r="E371" t="s">
        <v>15</v>
      </c>
      <c r="F371" t="s">
        <v>65</v>
      </c>
      <c r="G371" t="s">
        <v>24</v>
      </c>
      <c r="H371">
        <v>2</v>
      </c>
      <c r="I371">
        <v>150</v>
      </c>
      <c r="J371">
        <v>3</v>
      </c>
      <c r="K371">
        <v>6</v>
      </c>
      <c r="L371" t="s">
        <v>28</v>
      </c>
    </row>
    <row r="372" spans="1:12">
      <c r="A372" t="s">
        <v>754</v>
      </c>
      <c r="B372" s="2">
        <v>45172</v>
      </c>
      <c r="C372" t="s">
        <v>755</v>
      </c>
      <c r="D372" t="s">
        <v>14</v>
      </c>
      <c r="E372" t="s">
        <v>31</v>
      </c>
      <c r="F372" t="s">
        <v>23</v>
      </c>
      <c r="G372" t="s">
        <v>24</v>
      </c>
      <c r="H372">
        <v>3</v>
      </c>
      <c r="I372">
        <v>500</v>
      </c>
      <c r="J372">
        <v>3</v>
      </c>
      <c r="K372">
        <v>9</v>
      </c>
      <c r="L372" t="s">
        <v>28</v>
      </c>
    </row>
    <row r="373" spans="1:12">
      <c r="A373" t="s">
        <v>756</v>
      </c>
      <c r="B373" s="2">
        <v>45102</v>
      </c>
      <c r="C373" t="s">
        <v>757</v>
      </c>
      <c r="D373" t="s">
        <v>52</v>
      </c>
      <c r="E373" t="s">
        <v>15</v>
      </c>
      <c r="F373" t="s">
        <v>32</v>
      </c>
      <c r="G373" t="s">
        <v>17</v>
      </c>
      <c r="H373">
        <v>3</v>
      </c>
      <c r="I373">
        <v>150</v>
      </c>
      <c r="J373">
        <v>4</v>
      </c>
      <c r="K373">
        <v>3</v>
      </c>
      <c r="L373" t="s">
        <v>18</v>
      </c>
    </row>
    <row r="374" spans="1:12">
      <c r="A374" t="s">
        <v>758</v>
      </c>
      <c r="B374" s="2">
        <v>44965</v>
      </c>
      <c r="C374" t="s">
        <v>759</v>
      </c>
      <c r="D374" t="s">
        <v>14</v>
      </c>
      <c r="E374" t="s">
        <v>15</v>
      </c>
      <c r="F374" t="s">
        <v>16</v>
      </c>
      <c r="G374" t="s">
        <v>24</v>
      </c>
      <c r="H374">
        <v>1</v>
      </c>
      <c r="I374">
        <v>500</v>
      </c>
      <c r="J374">
        <v>4</v>
      </c>
      <c r="K374">
        <v>6</v>
      </c>
      <c r="L374" t="s">
        <v>33</v>
      </c>
    </row>
    <row r="375" spans="1:12">
      <c r="A375" t="s">
        <v>760</v>
      </c>
      <c r="B375" s="2">
        <v>45096</v>
      </c>
      <c r="C375" t="s">
        <v>761</v>
      </c>
      <c r="D375" t="s">
        <v>21</v>
      </c>
      <c r="E375" t="s">
        <v>27</v>
      </c>
      <c r="F375" t="s">
        <v>65</v>
      </c>
      <c r="G375" t="s">
        <v>24</v>
      </c>
      <c r="H375">
        <v>3</v>
      </c>
      <c r="I375">
        <v>500</v>
      </c>
      <c r="J375">
        <v>4</v>
      </c>
      <c r="K375">
        <v>3</v>
      </c>
      <c r="L375" t="s">
        <v>49</v>
      </c>
    </row>
    <row r="376" spans="1:12">
      <c r="A376" t="s">
        <v>762</v>
      </c>
      <c r="B376" s="2">
        <v>45173</v>
      </c>
      <c r="C376" t="s">
        <v>763</v>
      </c>
      <c r="D376" t="s">
        <v>14</v>
      </c>
      <c r="E376" t="s">
        <v>31</v>
      </c>
      <c r="F376" t="s">
        <v>23</v>
      </c>
      <c r="G376" t="s">
        <v>24</v>
      </c>
      <c r="H376">
        <v>1</v>
      </c>
      <c r="I376">
        <v>300</v>
      </c>
      <c r="J376">
        <v>3</v>
      </c>
      <c r="K376">
        <v>1</v>
      </c>
      <c r="L376" t="s">
        <v>33</v>
      </c>
    </row>
    <row r="377" spans="1:12">
      <c r="A377" t="s">
        <v>764</v>
      </c>
      <c r="B377" s="2">
        <v>44952</v>
      </c>
      <c r="C377" t="s">
        <v>765</v>
      </c>
      <c r="D377" t="s">
        <v>14</v>
      </c>
      <c r="E377" t="s">
        <v>31</v>
      </c>
      <c r="F377" t="s">
        <v>32</v>
      </c>
      <c r="G377" t="s">
        <v>24</v>
      </c>
      <c r="H377">
        <v>1</v>
      </c>
      <c r="I377">
        <v>300</v>
      </c>
      <c r="J377">
        <v>4</v>
      </c>
      <c r="K377">
        <v>5</v>
      </c>
      <c r="L377" t="s">
        <v>28</v>
      </c>
    </row>
    <row r="378" spans="1:12">
      <c r="A378" t="s">
        <v>766</v>
      </c>
      <c r="B378" s="2">
        <v>45281</v>
      </c>
      <c r="C378" t="s">
        <v>767</v>
      </c>
      <c r="D378" t="s">
        <v>52</v>
      </c>
      <c r="E378" t="s">
        <v>22</v>
      </c>
      <c r="F378" t="s">
        <v>32</v>
      </c>
      <c r="G378" t="s">
        <v>24</v>
      </c>
      <c r="H378">
        <v>1</v>
      </c>
      <c r="I378">
        <v>150</v>
      </c>
      <c r="J378">
        <v>1</v>
      </c>
      <c r="K378">
        <v>4</v>
      </c>
      <c r="L378" t="s">
        <v>33</v>
      </c>
    </row>
    <row r="379" spans="1:12">
      <c r="A379" t="s">
        <v>768</v>
      </c>
      <c r="B379" s="2">
        <v>45232</v>
      </c>
      <c r="C379" t="s">
        <v>769</v>
      </c>
      <c r="D379" t="s">
        <v>21</v>
      </c>
      <c r="E379" t="s">
        <v>31</v>
      </c>
      <c r="F379" t="s">
        <v>16</v>
      </c>
      <c r="G379" t="s">
        <v>24</v>
      </c>
      <c r="H379">
        <v>2</v>
      </c>
      <c r="I379">
        <v>500</v>
      </c>
      <c r="J379">
        <v>5</v>
      </c>
      <c r="K379">
        <v>7</v>
      </c>
      <c r="L379" t="s">
        <v>49</v>
      </c>
    </row>
    <row r="380" spans="1:12">
      <c r="A380" t="s">
        <v>770</v>
      </c>
      <c r="B380" s="2">
        <v>44939</v>
      </c>
      <c r="C380" t="s">
        <v>771</v>
      </c>
      <c r="D380" t="s">
        <v>14</v>
      </c>
      <c r="E380" t="s">
        <v>31</v>
      </c>
      <c r="F380" t="s">
        <v>23</v>
      </c>
      <c r="G380" t="s">
        <v>24</v>
      </c>
      <c r="H380">
        <v>4</v>
      </c>
      <c r="I380">
        <v>150</v>
      </c>
      <c r="J380">
        <v>5</v>
      </c>
      <c r="K380">
        <v>6</v>
      </c>
      <c r="L380" t="s">
        <v>49</v>
      </c>
    </row>
    <row r="381" spans="1:12">
      <c r="A381" t="s">
        <v>772</v>
      </c>
      <c r="B381" s="2">
        <v>45242</v>
      </c>
      <c r="C381" t="s">
        <v>773</v>
      </c>
      <c r="D381" t="s">
        <v>21</v>
      </c>
      <c r="E381" t="s">
        <v>22</v>
      </c>
      <c r="F381" t="s">
        <v>32</v>
      </c>
      <c r="G381" t="s">
        <v>24</v>
      </c>
      <c r="H381">
        <v>2</v>
      </c>
      <c r="I381">
        <v>800</v>
      </c>
      <c r="J381">
        <v>2</v>
      </c>
      <c r="K381">
        <v>7</v>
      </c>
      <c r="L381" t="s">
        <v>18</v>
      </c>
    </row>
    <row r="382" spans="1:12">
      <c r="A382" t="s">
        <v>774</v>
      </c>
      <c r="B382" s="2">
        <v>45239</v>
      </c>
      <c r="C382" t="s">
        <v>775</v>
      </c>
      <c r="D382" t="s">
        <v>14</v>
      </c>
      <c r="E382" t="s">
        <v>31</v>
      </c>
      <c r="F382" t="s">
        <v>65</v>
      </c>
      <c r="G382" t="s">
        <v>17</v>
      </c>
      <c r="H382">
        <v>4</v>
      </c>
      <c r="I382">
        <v>150</v>
      </c>
      <c r="J382">
        <v>2</v>
      </c>
      <c r="K382">
        <v>5</v>
      </c>
      <c r="L382" t="s">
        <v>49</v>
      </c>
    </row>
    <row r="383" spans="1:12">
      <c r="A383" t="s">
        <v>776</v>
      </c>
      <c r="B383" s="2">
        <v>44962</v>
      </c>
      <c r="C383" t="s">
        <v>777</v>
      </c>
      <c r="D383" t="s">
        <v>14</v>
      </c>
      <c r="E383" t="s">
        <v>31</v>
      </c>
      <c r="F383" t="s">
        <v>16</v>
      </c>
      <c r="G383" t="s">
        <v>17</v>
      </c>
      <c r="H383">
        <v>4</v>
      </c>
      <c r="I383">
        <v>1200</v>
      </c>
      <c r="J383">
        <v>5</v>
      </c>
      <c r="K383">
        <v>4</v>
      </c>
      <c r="L383" t="s">
        <v>49</v>
      </c>
    </row>
    <row r="384" spans="1:12">
      <c r="A384" t="s">
        <v>778</v>
      </c>
      <c r="B384" s="2">
        <v>45099</v>
      </c>
      <c r="C384" t="s">
        <v>779</v>
      </c>
      <c r="D384" t="s">
        <v>21</v>
      </c>
      <c r="E384" t="s">
        <v>31</v>
      </c>
      <c r="F384" t="s">
        <v>23</v>
      </c>
      <c r="G384" t="s">
        <v>24</v>
      </c>
      <c r="H384">
        <v>1</v>
      </c>
      <c r="I384">
        <v>150</v>
      </c>
      <c r="J384">
        <v>1</v>
      </c>
      <c r="K384">
        <v>7</v>
      </c>
      <c r="L384" t="s">
        <v>33</v>
      </c>
    </row>
    <row r="385" spans="1:12">
      <c r="A385" t="s">
        <v>780</v>
      </c>
      <c r="B385" s="2">
        <v>44946</v>
      </c>
      <c r="C385" t="s">
        <v>781</v>
      </c>
      <c r="D385" t="s">
        <v>14</v>
      </c>
      <c r="E385" t="s">
        <v>31</v>
      </c>
      <c r="F385" t="s">
        <v>16</v>
      </c>
      <c r="G385" t="s">
        <v>24</v>
      </c>
      <c r="H385">
        <v>3</v>
      </c>
      <c r="I385">
        <v>1200</v>
      </c>
      <c r="J385">
        <v>3</v>
      </c>
      <c r="K385">
        <v>7</v>
      </c>
      <c r="L385" t="s">
        <v>33</v>
      </c>
    </row>
    <row r="386" spans="1:12">
      <c r="A386" t="s">
        <v>782</v>
      </c>
      <c r="B386" s="2">
        <v>45247</v>
      </c>
      <c r="C386" t="s">
        <v>783</v>
      </c>
      <c r="D386" t="s">
        <v>21</v>
      </c>
      <c r="E386" t="s">
        <v>22</v>
      </c>
      <c r="F386" t="s">
        <v>65</v>
      </c>
      <c r="G386" t="s">
        <v>17</v>
      </c>
      <c r="H386">
        <v>1</v>
      </c>
      <c r="I386">
        <v>1200</v>
      </c>
      <c r="J386">
        <v>3</v>
      </c>
      <c r="K386">
        <v>6</v>
      </c>
      <c r="L386" t="s">
        <v>28</v>
      </c>
    </row>
    <row r="387" spans="1:12">
      <c r="A387" t="s">
        <v>784</v>
      </c>
      <c r="B387" s="2">
        <v>45190</v>
      </c>
      <c r="C387" t="s">
        <v>785</v>
      </c>
      <c r="D387" t="s">
        <v>14</v>
      </c>
      <c r="E387" t="s">
        <v>31</v>
      </c>
      <c r="F387" t="s">
        <v>23</v>
      </c>
      <c r="G387" t="s">
        <v>17</v>
      </c>
      <c r="H387">
        <v>3</v>
      </c>
      <c r="I387">
        <v>1200</v>
      </c>
      <c r="J387">
        <v>1</v>
      </c>
      <c r="K387">
        <v>8</v>
      </c>
      <c r="L387" t="s">
        <v>18</v>
      </c>
    </row>
    <row r="388" spans="1:12">
      <c r="A388" t="s">
        <v>786</v>
      </c>
      <c r="B388" s="2">
        <v>45068</v>
      </c>
      <c r="C388" t="s">
        <v>787</v>
      </c>
      <c r="D388" t="s">
        <v>52</v>
      </c>
      <c r="E388" t="s">
        <v>31</v>
      </c>
      <c r="F388" t="s">
        <v>16</v>
      </c>
      <c r="G388" t="s">
        <v>17</v>
      </c>
      <c r="H388">
        <v>4</v>
      </c>
      <c r="I388">
        <v>800</v>
      </c>
      <c r="J388">
        <v>3</v>
      </c>
      <c r="K388">
        <v>4</v>
      </c>
      <c r="L388" t="s">
        <v>33</v>
      </c>
    </row>
    <row r="389" spans="1:12">
      <c r="A389" t="s">
        <v>788</v>
      </c>
      <c r="B389" s="2">
        <v>45069</v>
      </c>
      <c r="C389" t="s">
        <v>789</v>
      </c>
      <c r="D389" t="s">
        <v>21</v>
      </c>
      <c r="E389" t="s">
        <v>22</v>
      </c>
      <c r="F389" t="s">
        <v>44</v>
      </c>
      <c r="G389" t="s">
        <v>24</v>
      </c>
      <c r="H389">
        <v>1</v>
      </c>
      <c r="I389">
        <v>150</v>
      </c>
      <c r="J389">
        <v>4</v>
      </c>
      <c r="K389">
        <v>5</v>
      </c>
      <c r="L389" t="s">
        <v>49</v>
      </c>
    </row>
    <row r="390" spans="1:12">
      <c r="A390" t="s">
        <v>790</v>
      </c>
      <c r="B390" s="2">
        <v>45018</v>
      </c>
      <c r="C390" t="s">
        <v>791</v>
      </c>
      <c r="D390" t="s">
        <v>14</v>
      </c>
      <c r="E390" t="s">
        <v>27</v>
      </c>
      <c r="F390" t="s">
        <v>65</v>
      </c>
      <c r="G390" t="s">
        <v>17</v>
      </c>
      <c r="H390">
        <v>3</v>
      </c>
      <c r="I390">
        <v>150</v>
      </c>
      <c r="J390">
        <v>5</v>
      </c>
      <c r="K390">
        <v>4</v>
      </c>
      <c r="L390" t="s">
        <v>28</v>
      </c>
    </row>
    <row r="391" spans="1:12">
      <c r="A391" t="s">
        <v>792</v>
      </c>
      <c r="B391" s="2">
        <v>45280</v>
      </c>
      <c r="C391" t="s">
        <v>793</v>
      </c>
      <c r="D391" t="s">
        <v>14</v>
      </c>
      <c r="E391" t="s">
        <v>15</v>
      </c>
      <c r="F391" t="s">
        <v>65</v>
      </c>
      <c r="G391" t="s">
        <v>24</v>
      </c>
      <c r="H391">
        <v>2</v>
      </c>
      <c r="I391">
        <v>800</v>
      </c>
      <c r="J391">
        <v>5</v>
      </c>
      <c r="K391">
        <v>1</v>
      </c>
      <c r="L391" t="s">
        <v>33</v>
      </c>
    </row>
    <row r="392" spans="1:12">
      <c r="A392" t="s">
        <v>794</v>
      </c>
      <c r="B392" s="2">
        <v>45248</v>
      </c>
      <c r="C392" t="s">
        <v>795</v>
      </c>
      <c r="D392" t="s">
        <v>52</v>
      </c>
      <c r="E392" t="s">
        <v>27</v>
      </c>
      <c r="F392" t="s">
        <v>65</v>
      </c>
      <c r="G392" t="s">
        <v>24</v>
      </c>
      <c r="H392">
        <v>3</v>
      </c>
      <c r="I392">
        <v>500</v>
      </c>
      <c r="J392">
        <v>1</v>
      </c>
      <c r="K392">
        <v>8</v>
      </c>
      <c r="L392" t="s">
        <v>18</v>
      </c>
    </row>
    <row r="393" spans="1:12">
      <c r="A393" t="s">
        <v>796</v>
      </c>
      <c r="B393" s="2">
        <v>45214</v>
      </c>
      <c r="C393" t="s">
        <v>797</v>
      </c>
      <c r="D393" t="s">
        <v>21</v>
      </c>
      <c r="E393" t="s">
        <v>22</v>
      </c>
      <c r="F393" t="s">
        <v>44</v>
      </c>
      <c r="G393" t="s">
        <v>17</v>
      </c>
      <c r="H393">
        <v>1</v>
      </c>
      <c r="I393">
        <v>300</v>
      </c>
      <c r="J393">
        <v>3</v>
      </c>
      <c r="K393">
        <v>1</v>
      </c>
      <c r="L393" t="s">
        <v>18</v>
      </c>
    </row>
    <row r="394" spans="1:12">
      <c r="A394" t="s">
        <v>798</v>
      </c>
      <c r="B394" s="2">
        <v>45141</v>
      </c>
      <c r="C394" t="s">
        <v>799</v>
      </c>
      <c r="D394" t="s">
        <v>14</v>
      </c>
      <c r="E394" t="s">
        <v>15</v>
      </c>
      <c r="F394" t="s">
        <v>44</v>
      </c>
      <c r="G394" t="s">
        <v>24</v>
      </c>
      <c r="H394">
        <v>2</v>
      </c>
      <c r="I394">
        <v>150</v>
      </c>
      <c r="J394">
        <v>2</v>
      </c>
      <c r="K394">
        <v>5</v>
      </c>
      <c r="L394" t="s">
        <v>28</v>
      </c>
    </row>
    <row r="395" spans="1:12">
      <c r="A395" t="s">
        <v>800</v>
      </c>
      <c r="B395" s="2">
        <v>45268</v>
      </c>
      <c r="C395" t="s">
        <v>315</v>
      </c>
      <c r="D395" t="s">
        <v>52</v>
      </c>
      <c r="E395" t="s">
        <v>22</v>
      </c>
      <c r="F395" t="s">
        <v>32</v>
      </c>
      <c r="G395" t="s">
        <v>24</v>
      </c>
      <c r="H395">
        <v>3</v>
      </c>
      <c r="I395">
        <v>300</v>
      </c>
      <c r="J395">
        <v>2</v>
      </c>
      <c r="K395">
        <v>6</v>
      </c>
      <c r="L395" t="s">
        <v>28</v>
      </c>
    </row>
    <row r="396" spans="1:12">
      <c r="A396" t="s">
        <v>801</v>
      </c>
      <c r="B396" s="2">
        <v>44977</v>
      </c>
      <c r="C396" t="s">
        <v>802</v>
      </c>
      <c r="D396" t="s">
        <v>14</v>
      </c>
      <c r="E396" t="s">
        <v>22</v>
      </c>
      <c r="F396" t="s">
        <v>16</v>
      </c>
      <c r="G396" t="s">
        <v>24</v>
      </c>
      <c r="H396">
        <v>3</v>
      </c>
      <c r="I396">
        <v>800</v>
      </c>
      <c r="J396">
        <v>3</v>
      </c>
      <c r="K396">
        <v>6</v>
      </c>
      <c r="L396" t="s">
        <v>28</v>
      </c>
    </row>
    <row r="397" spans="1:12">
      <c r="A397" t="s">
        <v>803</v>
      </c>
      <c r="B397" s="2">
        <v>45079</v>
      </c>
      <c r="C397" t="s">
        <v>804</v>
      </c>
      <c r="D397" t="s">
        <v>21</v>
      </c>
      <c r="E397" t="s">
        <v>31</v>
      </c>
      <c r="F397" t="s">
        <v>32</v>
      </c>
      <c r="G397" t="s">
        <v>24</v>
      </c>
      <c r="H397">
        <v>3</v>
      </c>
      <c r="I397">
        <v>500</v>
      </c>
      <c r="J397">
        <v>2</v>
      </c>
      <c r="K397">
        <v>5</v>
      </c>
      <c r="L397" t="s">
        <v>28</v>
      </c>
    </row>
    <row r="398" spans="1:12">
      <c r="A398" t="s">
        <v>805</v>
      </c>
      <c r="B398" s="2">
        <v>45112</v>
      </c>
      <c r="C398" t="s">
        <v>806</v>
      </c>
      <c r="D398" t="s">
        <v>14</v>
      </c>
      <c r="E398" t="s">
        <v>15</v>
      </c>
      <c r="F398" t="s">
        <v>16</v>
      </c>
      <c r="G398" t="s">
        <v>17</v>
      </c>
      <c r="H398">
        <v>3</v>
      </c>
      <c r="I398">
        <v>500</v>
      </c>
      <c r="J398">
        <v>1</v>
      </c>
      <c r="K398">
        <v>3</v>
      </c>
      <c r="L398" t="s">
        <v>28</v>
      </c>
    </row>
    <row r="399" spans="1:12">
      <c r="A399" t="s">
        <v>807</v>
      </c>
      <c r="B399" s="2">
        <v>44989</v>
      </c>
      <c r="C399" t="s">
        <v>808</v>
      </c>
      <c r="D399" t="s">
        <v>14</v>
      </c>
      <c r="E399" t="s">
        <v>31</v>
      </c>
      <c r="F399" t="s">
        <v>44</v>
      </c>
      <c r="G399" t="s">
        <v>17</v>
      </c>
      <c r="H399">
        <v>3</v>
      </c>
      <c r="I399">
        <v>500</v>
      </c>
      <c r="J399">
        <v>1</v>
      </c>
      <c r="K399">
        <v>5</v>
      </c>
      <c r="L399" t="s">
        <v>49</v>
      </c>
    </row>
    <row r="400" spans="1:12">
      <c r="A400" t="s">
        <v>809</v>
      </c>
      <c r="B400" s="2">
        <v>45116</v>
      </c>
      <c r="C400" t="s">
        <v>810</v>
      </c>
      <c r="D400" t="s">
        <v>14</v>
      </c>
      <c r="E400" t="s">
        <v>15</v>
      </c>
      <c r="F400" t="s">
        <v>44</v>
      </c>
      <c r="G400" t="s">
        <v>24</v>
      </c>
      <c r="H400">
        <v>2</v>
      </c>
      <c r="I400">
        <v>800</v>
      </c>
      <c r="J400">
        <v>3</v>
      </c>
      <c r="K400">
        <v>8</v>
      </c>
      <c r="L400" t="s">
        <v>49</v>
      </c>
    </row>
    <row r="401" spans="1:12">
      <c r="A401" t="s">
        <v>811</v>
      </c>
      <c r="B401" s="2">
        <v>45051</v>
      </c>
      <c r="C401" t="s">
        <v>469</v>
      </c>
      <c r="D401" t="s">
        <v>14</v>
      </c>
      <c r="E401" t="s">
        <v>22</v>
      </c>
      <c r="F401" t="s">
        <v>32</v>
      </c>
      <c r="G401" t="s">
        <v>24</v>
      </c>
      <c r="H401">
        <v>4</v>
      </c>
      <c r="I401">
        <v>1200</v>
      </c>
      <c r="J401">
        <v>2</v>
      </c>
      <c r="K401">
        <v>2</v>
      </c>
      <c r="L401" t="s">
        <v>33</v>
      </c>
    </row>
    <row r="402" spans="1:12">
      <c r="A402" t="s">
        <v>812</v>
      </c>
      <c r="B402" s="2">
        <v>45076</v>
      </c>
      <c r="C402" t="s">
        <v>813</v>
      </c>
      <c r="D402" t="s">
        <v>52</v>
      </c>
      <c r="E402" t="s">
        <v>22</v>
      </c>
      <c r="F402" t="s">
        <v>23</v>
      </c>
      <c r="G402" t="s">
        <v>17</v>
      </c>
      <c r="H402">
        <v>2</v>
      </c>
      <c r="I402">
        <v>1200</v>
      </c>
      <c r="J402">
        <v>1</v>
      </c>
      <c r="K402">
        <v>6</v>
      </c>
      <c r="L402" t="s">
        <v>18</v>
      </c>
    </row>
    <row r="403" spans="1:12">
      <c r="A403" t="s">
        <v>814</v>
      </c>
      <c r="B403" s="2">
        <v>45240</v>
      </c>
      <c r="C403" t="s">
        <v>815</v>
      </c>
      <c r="D403" t="s">
        <v>52</v>
      </c>
      <c r="E403" t="s">
        <v>27</v>
      </c>
      <c r="F403" t="s">
        <v>32</v>
      </c>
      <c r="G403" t="s">
        <v>24</v>
      </c>
      <c r="H403">
        <v>2</v>
      </c>
      <c r="I403">
        <v>300</v>
      </c>
      <c r="J403">
        <v>1</v>
      </c>
      <c r="K403">
        <v>9</v>
      </c>
      <c r="L403" t="s">
        <v>49</v>
      </c>
    </row>
    <row r="404" spans="1:12">
      <c r="A404" t="s">
        <v>816</v>
      </c>
      <c r="B404" s="2">
        <v>44984</v>
      </c>
      <c r="C404" t="s">
        <v>817</v>
      </c>
      <c r="D404" t="s">
        <v>21</v>
      </c>
      <c r="E404" t="s">
        <v>15</v>
      </c>
      <c r="F404" t="s">
        <v>16</v>
      </c>
      <c r="G404" t="s">
        <v>17</v>
      </c>
      <c r="H404">
        <v>2</v>
      </c>
      <c r="I404">
        <v>1200</v>
      </c>
      <c r="J404">
        <v>4</v>
      </c>
      <c r="K404">
        <v>8</v>
      </c>
      <c r="L404" t="s">
        <v>49</v>
      </c>
    </row>
    <row r="405" spans="1:12">
      <c r="A405" t="s">
        <v>818</v>
      </c>
      <c r="B405" s="2">
        <v>45268</v>
      </c>
      <c r="C405" t="s">
        <v>819</v>
      </c>
      <c r="D405" t="s">
        <v>52</v>
      </c>
      <c r="E405" t="s">
        <v>31</v>
      </c>
      <c r="F405" t="s">
        <v>32</v>
      </c>
      <c r="G405" t="s">
        <v>24</v>
      </c>
      <c r="H405">
        <v>4</v>
      </c>
      <c r="I405">
        <v>1200</v>
      </c>
      <c r="J405">
        <v>4</v>
      </c>
      <c r="K405">
        <v>8</v>
      </c>
      <c r="L405" t="s">
        <v>49</v>
      </c>
    </row>
    <row r="406" spans="1:12">
      <c r="A406" t="s">
        <v>820</v>
      </c>
      <c r="B406" s="2">
        <v>45231</v>
      </c>
      <c r="C406" t="s">
        <v>821</v>
      </c>
      <c r="D406" t="s">
        <v>52</v>
      </c>
      <c r="E406" t="s">
        <v>27</v>
      </c>
      <c r="F406" t="s">
        <v>65</v>
      </c>
      <c r="G406" t="s">
        <v>24</v>
      </c>
      <c r="H406">
        <v>1</v>
      </c>
      <c r="I406">
        <v>500</v>
      </c>
      <c r="J406">
        <v>1</v>
      </c>
      <c r="K406">
        <v>8</v>
      </c>
      <c r="L406" t="s">
        <v>33</v>
      </c>
    </row>
    <row r="407" spans="1:12">
      <c r="A407" t="s">
        <v>822</v>
      </c>
      <c r="B407" s="2">
        <v>45106</v>
      </c>
      <c r="C407" t="s">
        <v>823</v>
      </c>
      <c r="D407" t="s">
        <v>21</v>
      </c>
      <c r="E407" t="s">
        <v>27</v>
      </c>
      <c r="F407" t="s">
        <v>16</v>
      </c>
      <c r="G407" t="s">
        <v>17</v>
      </c>
      <c r="H407">
        <v>4</v>
      </c>
      <c r="I407">
        <v>500</v>
      </c>
      <c r="J407">
        <v>3</v>
      </c>
      <c r="K407">
        <v>7</v>
      </c>
      <c r="L407" t="s">
        <v>28</v>
      </c>
    </row>
    <row r="408" spans="1:12">
      <c r="A408" t="s">
        <v>824</v>
      </c>
      <c r="B408" s="2">
        <v>45096</v>
      </c>
      <c r="C408" t="s">
        <v>825</v>
      </c>
      <c r="D408" t="s">
        <v>52</v>
      </c>
      <c r="E408" t="s">
        <v>27</v>
      </c>
      <c r="F408" t="s">
        <v>16</v>
      </c>
      <c r="G408" t="s">
        <v>17</v>
      </c>
      <c r="H408">
        <v>2</v>
      </c>
      <c r="I408">
        <v>300</v>
      </c>
      <c r="J408">
        <v>5</v>
      </c>
      <c r="K408">
        <v>8</v>
      </c>
      <c r="L408" t="s">
        <v>33</v>
      </c>
    </row>
    <row r="409" spans="1:12">
      <c r="A409" t="s">
        <v>826</v>
      </c>
      <c r="B409" s="2">
        <v>45252</v>
      </c>
      <c r="C409" t="s">
        <v>408</v>
      </c>
      <c r="D409" t="s">
        <v>52</v>
      </c>
      <c r="E409" t="s">
        <v>31</v>
      </c>
      <c r="F409" t="s">
        <v>23</v>
      </c>
      <c r="G409" t="s">
        <v>17</v>
      </c>
      <c r="H409">
        <v>3</v>
      </c>
      <c r="I409">
        <v>150</v>
      </c>
      <c r="J409">
        <v>5</v>
      </c>
      <c r="K409">
        <v>6</v>
      </c>
      <c r="L409" t="s">
        <v>18</v>
      </c>
    </row>
    <row r="410" spans="1:12">
      <c r="A410" t="s">
        <v>827</v>
      </c>
      <c r="B410" s="2">
        <v>45197</v>
      </c>
      <c r="C410" t="s">
        <v>828</v>
      </c>
      <c r="D410" t="s">
        <v>21</v>
      </c>
      <c r="E410" t="s">
        <v>27</v>
      </c>
      <c r="F410" t="s">
        <v>44</v>
      </c>
      <c r="G410" t="s">
        <v>17</v>
      </c>
      <c r="H410">
        <v>3</v>
      </c>
      <c r="I410">
        <v>300</v>
      </c>
      <c r="J410">
        <v>1</v>
      </c>
      <c r="K410">
        <v>2</v>
      </c>
      <c r="L410" t="s">
        <v>18</v>
      </c>
    </row>
    <row r="411" spans="1:12">
      <c r="A411" t="s">
        <v>829</v>
      </c>
      <c r="B411" s="2">
        <v>44980</v>
      </c>
      <c r="C411" t="s">
        <v>830</v>
      </c>
      <c r="D411" t="s">
        <v>21</v>
      </c>
      <c r="E411" t="s">
        <v>31</v>
      </c>
      <c r="F411" t="s">
        <v>16</v>
      </c>
      <c r="G411" t="s">
        <v>24</v>
      </c>
      <c r="H411">
        <v>2</v>
      </c>
      <c r="I411">
        <v>300</v>
      </c>
      <c r="J411">
        <v>1</v>
      </c>
      <c r="K411">
        <v>2</v>
      </c>
      <c r="L411" t="s">
        <v>18</v>
      </c>
    </row>
    <row r="412" spans="1:12">
      <c r="A412" t="s">
        <v>831</v>
      </c>
      <c r="B412" s="2">
        <v>45027</v>
      </c>
      <c r="C412" t="s">
        <v>832</v>
      </c>
      <c r="D412" t="s">
        <v>21</v>
      </c>
      <c r="E412" t="s">
        <v>27</v>
      </c>
      <c r="F412" t="s">
        <v>44</v>
      </c>
      <c r="G412" t="s">
        <v>17</v>
      </c>
      <c r="H412">
        <v>3</v>
      </c>
      <c r="I412">
        <v>800</v>
      </c>
      <c r="J412">
        <v>1</v>
      </c>
      <c r="K412">
        <v>8</v>
      </c>
      <c r="L412" t="s">
        <v>18</v>
      </c>
    </row>
    <row r="413" spans="1:12">
      <c r="A413" t="s">
        <v>833</v>
      </c>
      <c r="B413" s="2">
        <v>45190</v>
      </c>
      <c r="C413" t="s">
        <v>834</v>
      </c>
      <c r="D413" t="s">
        <v>14</v>
      </c>
      <c r="E413" t="s">
        <v>31</v>
      </c>
      <c r="F413" t="s">
        <v>32</v>
      </c>
      <c r="G413" t="s">
        <v>24</v>
      </c>
      <c r="H413">
        <v>2</v>
      </c>
      <c r="I413">
        <v>800</v>
      </c>
      <c r="J413">
        <v>3</v>
      </c>
      <c r="K413">
        <v>1</v>
      </c>
      <c r="L413" t="s">
        <v>49</v>
      </c>
    </row>
    <row r="414" spans="1:12">
      <c r="A414" t="s">
        <v>835</v>
      </c>
      <c r="B414" s="2">
        <v>44979</v>
      </c>
      <c r="C414" t="s">
        <v>836</v>
      </c>
      <c r="D414" t="s">
        <v>14</v>
      </c>
      <c r="E414" t="s">
        <v>22</v>
      </c>
      <c r="F414" t="s">
        <v>65</v>
      </c>
      <c r="G414" t="s">
        <v>17</v>
      </c>
      <c r="H414">
        <v>3</v>
      </c>
      <c r="I414">
        <v>300</v>
      </c>
      <c r="J414">
        <v>4</v>
      </c>
      <c r="K414">
        <v>6</v>
      </c>
      <c r="L414" t="s">
        <v>49</v>
      </c>
    </row>
    <row r="415" spans="1:12">
      <c r="A415" t="s">
        <v>837</v>
      </c>
      <c r="B415" s="2">
        <v>44986</v>
      </c>
      <c r="C415" t="s">
        <v>838</v>
      </c>
      <c r="D415" t="s">
        <v>21</v>
      </c>
      <c r="E415" t="s">
        <v>22</v>
      </c>
      <c r="F415" t="s">
        <v>23</v>
      </c>
      <c r="G415" t="s">
        <v>17</v>
      </c>
      <c r="H415">
        <v>4</v>
      </c>
      <c r="I415">
        <v>300</v>
      </c>
      <c r="J415">
        <v>1</v>
      </c>
      <c r="K415">
        <v>6</v>
      </c>
      <c r="L415" t="s">
        <v>33</v>
      </c>
    </row>
    <row r="416" spans="1:12">
      <c r="A416" t="s">
        <v>839</v>
      </c>
      <c r="B416" s="2">
        <v>45034</v>
      </c>
      <c r="C416" t="s">
        <v>840</v>
      </c>
      <c r="D416" t="s">
        <v>21</v>
      </c>
      <c r="E416" t="s">
        <v>22</v>
      </c>
      <c r="F416" t="s">
        <v>44</v>
      </c>
      <c r="G416" t="s">
        <v>24</v>
      </c>
      <c r="H416">
        <v>1</v>
      </c>
      <c r="I416">
        <v>300</v>
      </c>
      <c r="J416">
        <v>1</v>
      </c>
      <c r="K416">
        <v>4</v>
      </c>
      <c r="L416" t="s">
        <v>28</v>
      </c>
    </row>
    <row r="417" spans="1:12">
      <c r="A417" t="s">
        <v>841</v>
      </c>
      <c r="B417" s="2">
        <v>44931</v>
      </c>
      <c r="C417" t="s">
        <v>842</v>
      </c>
      <c r="D417" t="s">
        <v>21</v>
      </c>
      <c r="E417" t="s">
        <v>22</v>
      </c>
      <c r="F417" t="s">
        <v>16</v>
      </c>
      <c r="G417" t="s">
        <v>17</v>
      </c>
      <c r="H417">
        <v>1</v>
      </c>
      <c r="I417">
        <v>1200</v>
      </c>
      <c r="J417">
        <v>2</v>
      </c>
      <c r="K417">
        <v>3</v>
      </c>
      <c r="L417" t="s">
        <v>18</v>
      </c>
    </row>
    <row r="418" spans="1:12">
      <c r="A418" t="s">
        <v>843</v>
      </c>
      <c r="B418" s="2">
        <v>45029</v>
      </c>
      <c r="C418" t="s">
        <v>844</v>
      </c>
      <c r="D418" t="s">
        <v>14</v>
      </c>
      <c r="E418" t="s">
        <v>22</v>
      </c>
      <c r="F418" t="s">
        <v>44</v>
      </c>
      <c r="G418" t="s">
        <v>17</v>
      </c>
      <c r="H418">
        <v>4</v>
      </c>
      <c r="I418">
        <v>800</v>
      </c>
      <c r="J418">
        <v>3</v>
      </c>
      <c r="K418">
        <v>3</v>
      </c>
      <c r="L418" t="s">
        <v>33</v>
      </c>
    </row>
    <row r="419" spans="1:12">
      <c r="A419" t="s">
        <v>845</v>
      </c>
      <c r="B419" s="2">
        <v>45122</v>
      </c>
      <c r="C419" t="s">
        <v>563</v>
      </c>
      <c r="D419" t="s">
        <v>14</v>
      </c>
      <c r="E419" t="s">
        <v>27</v>
      </c>
      <c r="F419" t="s">
        <v>16</v>
      </c>
      <c r="G419" t="s">
        <v>17</v>
      </c>
      <c r="H419">
        <v>4</v>
      </c>
      <c r="I419">
        <v>300</v>
      </c>
      <c r="J419">
        <v>1</v>
      </c>
      <c r="K419">
        <v>1</v>
      </c>
      <c r="L419" t="s">
        <v>49</v>
      </c>
    </row>
    <row r="420" spans="1:12">
      <c r="A420" t="s">
        <v>846</v>
      </c>
      <c r="B420" s="2">
        <v>45188</v>
      </c>
      <c r="C420" t="s">
        <v>847</v>
      </c>
      <c r="D420" t="s">
        <v>52</v>
      </c>
      <c r="E420" t="s">
        <v>27</v>
      </c>
      <c r="F420" t="s">
        <v>44</v>
      </c>
      <c r="G420" t="s">
        <v>17</v>
      </c>
      <c r="H420">
        <v>2</v>
      </c>
      <c r="I420">
        <v>500</v>
      </c>
      <c r="J420">
        <v>2</v>
      </c>
      <c r="K420">
        <v>3</v>
      </c>
      <c r="L420" t="s">
        <v>49</v>
      </c>
    </row>
    <row r="421" spans="1:12">
      <c r="A421" t="s">
        <v>848</v>
      </c>
      <c r="B421" s="2">
        <v>45291</v>
      </c>
      <c r="C421" t="s">
        <v>849</v>
      </c>
      <c r="D421" t="s">
        <v>52</v>
      </c>
      <c r="E421" t="s">
        <v>27</v>
      </c>
      <c r="F421" t="s">
        <v>16</v>
      </c>
      <c r="G421" t="s">
        <v>24</v>
      </c>
      <c r="H421">
        <v>2</v>
      </c>
      <c r="I421">
        <v>500</v>
      </c>
      <c r="J421">
        <v>5</v>
      </c>
      <c r="K421">
        <v>4</v>
      </c>
      <c r="L421" t="s">
        <v>28</v>
      </c>
    </row>
    <row r="422" spans="1:12">
      <c r="A422" t="s">
        <v>850</v>
      </c>
      <c r="B422" s="2">
        <v>45276</v>
      </c>
      <c r="C422" t="s">
        <v>851</v>
      </c>
      <c r="D422" t="s">
        <v>21</v>
      </c>
      <c r="E422" t="s">
        <v>31</v>
      </c>
      <c r="F422" t="s">
        <v>32</v>
      </c>
      <c r="G422" t="s">
        <v>24</v>
      </c>
      <c r="H422">
        <v>2</v>
      </c>
      <c r="I422">
        <v>1200</v>
      </c>
      <c r="J422">
        <v>1</v>
      </c>
      <c r="K422">
        <v>5</v>
      </c>
      <c r="L422" t="s">
        <v>28</v>
      </c>
    </row>
    <row r="423" spans="1:12">
      <c r="A423" t="s">
        <v>852</v>
      </c>
      <c r="B423" s="2">
        <v>44973</v>
      </c>
      <c r="C423" t="s">
        <v>853</v>
      </c>
      <c r="D423" t="s">
        <v>14</v>
      </c>
      <c r="E423" t="s">
        <v>31</v>
      </c>
      <c r="F423" t="s">
        <v>16</v>
      </c>
      <c r="G423" t="s">
        <v>17</v>
      </c>
      <c r="H423">
        <v>3</v>
      </c>
      <c r="I423">
        <v>1200</v>
      </c>
      <c r="J423">
        <v>1</v>
      </c>
      <c r="K423">
        <v>3</v>
      </c>
      <c r="L423" t="s">
        <v>28</v>
      </c>
    </row>
    <row r="424" spans="1:12">
      <c r="A424" t="s">
        <v>854</v>
      </c>
      <c r="B424" s="2">
        <v>45281</v>
      </c>
      <c r="C424" t="s">
        <v>855</v>
      </c>
      <c r="D424" t="s">
        <v>14</v>
      </c>
      <c r="E424" t="s">
        <v>31</v>
      </c>
      <c r="F424" t="s">
        <v>16</v>
      </c>
      <c r="G424" t="s">
        <v>17</v>
      </c>
      <c r="H424">
        <v>2</v>
      </c>
      <c r="I424">
        <v>150</v>
      </c>
      <c r="J424">
        <v>2</v>
      </c>
      <c r="K424">
        <v>6</v>
      </c>
      <c r="L424" t="s">
        <v>33</v>
      </c>
    </row>
    <row r="425" spans="1:12">
      <c r="A425" t="s">
        <v>856</v>
      </c>
      <c r="B425" s="2">
        <v>45237</v>
      </c>
      <c r="C425" t="s">
        <v>857</v>
      </c>
      <c r="D425" t="s">
        <v>14</v>
      </c>
      <c r="E425" t="s">
        <v>31</v>
      </c>
      <c r="F425" t="s">
        <v>65</v>
      </c>
      <c r="G425" t="s">
        <v>17</v>
      </c>
      <c r="H425">
        <v>4</v>
      </c>
      <c r="I425">
        <v>150</v>
      </c>
      <c r="J425">
        <v>3</v>
      </c>
      <c r="K425">
        <v>5</v>
      </c>
      <c r="L425" t="s">
        <v>49</v>
      </c>
    </row>
    <row r="426" spans="1:12">
      <c r="A426" t="s">
        <v>858</v>
      </c>
      <c r="B426" s="2">
        <v>45234</v>
      </c>
      <c r="C426" t="s">
        <v>859</v>
      </c>
      <c r="D426" t="s">
        <v>21</v>
      </c>
      <c r="E426" t="s">
        <v>22</v>
      </c>
      <c r="F426" t="s">
        <v>16</v>
      </c>
      <c r="G426" t="s">
        <v>24</v>
      </c>
      <c r="H426">
        <v>1</v>
      </c>
      <c r="I426">
        <v>150</v>
      </c>
      <c r="J426">
        <v>1</v>
      </c>
      <c r="K426">
        <v>3</v>
      </c>
      <c r="L426" t="s">
        <v>49</v>
      </c>
    </row>
    <row r="427" spans="1:12">
      <c r="A427" t="s">
        <v>860</v>
      </c>
      <c r="B427" s="2">
        <v>45070</v>
      </c>
      <c r="C427" t="s">
        <v>861</v>
      </c>
      <c r="D427" t="s">
        <v>52</v>
      </c>
      <c r="E427" t="s">
        <v>22</v>
      </c>
      <c r="F427" t="s">
        <v>65</v>
      </c>
      <c r="G427" t="s">
        <v>24</v>
      </c>
      <c r="H427">
        <v>3</v>
      </c>
      <c r="I427">
        <v>1200</v>
      </c>
      <c r="J427">
        <v>5</v>
      </c>
      <c r="K427">
        <v>6</v>
      </c>
      <c r="L427" t="s">
        <v>28</v>
      </c>
    </row>
    <row r="428" spans="1:12">
      <c r="A428" t="s">
        <v>862</v>
      </c>
      <c r="B428" s="2">
        <v>45195</v>
      </c>
      <c r="C428" t="s">
        <v>863</v>
      </c>
      <c r="D428" t="s">
        <v>21</v>
      </c>
      <c r="E428" t="s">
        <v>22</v>
      </c>
      <c r="F428" t="s">
        <v>23</v>
      </c>
      <c r="G428" t="s">
        <v>24</v>
      </c>
      <c r="H428">
        <v>2</v>
      </c>
      <c r="I428">
        <v>1200</v>
      </c>
      <c r="J428">
        <v>1</v>
      </c>
      <c r="K428">
        <v>6</v>
      </c>
      <c r="L428" t="s">
        <v>18</v>
      </c>
    </row>
    <row r="429" spans="1:12">
      <c r="A429" t="s">
        <v>864</v>
      </c>
      <c r="B429" s="2">
        <v>45050</v>
      </c>
      <c r="C429" t="s">
        <v>865</v>
      </c>
      <c r="D429" t="s">
        <v>52</v>
      </c>
      <c r="E429" t="s">
        <v>15</v>
      </c>
      <c r="F429" t="s">
        <v>65</v>
      </c>
      <c r="G429" t="s">
        <v>24</v>
      </c>
      <c r="H429">
        <v>3</v>
      </c>
      <c r="I429">
        <v>1200</v>
      </c>
      <c r="J429">
        <v>5</v>
      </c>
      <c r="K429">
        <v>8</v>
      </c>
      <c r="L429" t="s">
        <v>28</v>
      </c>
    </row>
    <row r="430" spans="1:12">
      <c r="A430" t="s">
        <v>866</v>
      </c>
      <c r="B430" s="2">
        <v>45032</v>
      </c>
      <c r="C430" t="s">
        <v>867</v>
      </c>
      <c r="D430" t="s">
        <v>52</v>
      </c>
      <c r="E430" t="s">
        <v>27</v>
      </c>
      <c r="F430" t="s">
        <v>32</v>
      </c>
      <c r="G430" t="s">
        <v>17</v>
      </c>
      <c r="H430">
        <v>3</v>
      </c>
      <c r="I430">
        <v>500</v>
      </c>
      <c r="J430">
        <v>4</v>
      </c>
      <c r="K430">
        <v>2</v>
      </c>
      <c r="L430" t="s">
        <v>33</v>
      </c>
    </row>
    <row r="431" spans="1:12">
      <c r="A431" t="s">
        <v>868</v>
      </c>
      <c r="B431" s="2">
        <v>45084</v>
      </c>
      <c r="C431" t="s">
        <v>869</v>
      </c>
      <c r="D431" t="s">
        <v>21</v>
      </c>
      <c r="E431" t="s">
        <v>31</v>
      </c>
      <c r="F431" t="s">
        <v>65</v>
      </c>
      <c r="G431" t="s">
        <v>17</v>
      </c>
      <c r="H431">
        <v>2</v>
      </c>
      <c r="I431">
        <v>1200</v>
      </c>
      <c r="J431">
        <v>4</v>
      </c>
      <c r="K431">
        <v>1</v>
      </c>
      <c r="L431" t="s">
        <v>28</v>
      </c>
    </row>
    <row r="432" spans="1:12">
      <c r="A432" t="s">
        <v>870</v>
      </c>
      <c r="B432" s="2">
        <v>45073</v>
      </c>
      <c r="C432" t="s">
        <v>871</v>
      </c>
      <c r="D432" t="s">
        <v>52</v>
      </c>
      <c r="E432" t="s">
        <v>31</v>
      </c>
      <c r="F432" t="s">
        <v>23</v>
      </c>
      <c r="G432" t="s">
        <v>17</v>
      </c>
      <c r="H432">
        <v>3</v>
      </c>
      <c r="I432">
        <v>500</v>
      </c>
      <c r="J432">
        <v>5</v>
      </c>
      <c r="K432">
        <v>4</v>
      </c>
      <c r="L432" t="s">
        <v>28</v>
      </c>
    </row>
    <row r="433" spans="1:12">
      <c r="A433" t="s">
        <v>872</v>
      </c>
      <c r="B433" s="2">
        <v>45071</v>
      </c>
      <c r="C433" t="s">
        <v>873</v>
      </c>
      <c r="D433" t="s">
        <v>52</v>
      </c>
      <c r="E433" t="s">
        <v>22</v>
      </c>
      <c r="F433" t="s">
        <v>32</v>
      </c>
      <c r="G433" t="s">
        <v>24</v>
      </c>
      <c r="H433">
        <v>1</v>
      </c>
      <c r="I433">
        <v>150</v>
      </c>
      <c r="J433">
        <v>3</v>
      </c>
      <c r="K433">
        <v>7</v>
      </c>
      <c r="L433" t="s">
        <v>33</v>
      </c>
    </row>
    <row r="434" spans="1:12">
      <c r="A434" t="s">
        <v>874</v>
      </c>
      <c r="B434" s="2">
        <v>45046</v>
      </c>
      <c r="C434" t="s">
        <v>875</v>
      </c>
      <c r="D434" t="s">
        <v>14</v>
      </c>
      <c r="E434" t="s">
        <v>31</v>
      </c>
      <c r="F434" t="s">
        <v>44</v>
      </c>
      <c r="G434" t="s">
        <v>17</v>
      </c>
      <c r="H434">
        <v>4</v>
      </c>
      <c r="I434">
        <v>150</v>
      </c>
      <c r="J434">
        <v>1</v>
      </c>
      <c r="K434">
        <v>3</v>
      </c>
      <c r="L434" t="s">
        <v>28</v>
      </c>
    </row>
    <row r="435" spans="1:12">
      <c r="A435" t="s">
        <v>876</v>
      </c>
      <c r="B435" s="2">
        <v>45245</v>
      </c>
      <c r="C435" t="s">
        <v>877</v>
      </c>
      <c r="D435" t="s">
        <v>52</v>
      </c>
      <c r="E435" t="s">
        <v>31</v>
      </c>
      <c r="F435" t="s">
        <v>44</v>
      </c>
      <c r="G435" t="s">
        <v>24</v>
      </c>
      <c r="H435">
        <v>4</v>
      </c>
      <c r="I435">
        <v>150</v>
      </c>
      <c r="J435">
        <v>1</v>
      </c>
      <c r="K435">
        <v>3</v>
      </c>
      <c r="L435" t="s">
        <v>49</v>
      </c>
    </row>
    <row r="436" spans="1:12">
      <c r="A436" t="s">
        <v>878</v>
      </c>
      <c r="B436" s="2">
        <v>45201</v>
      </c>
      <c r="C436" t="s">
        <v>879</v>
      </c>
      <c r="D436" t="s">
        <v>21</v>
      </c>
      <c r="E436" t="s">
        <v>27</v>
      </c>
      <c r="F436" t="s">
        <v>65</v>
      </c>
      <c r="G436" t="s">
        <v>24</v>
      </c>
      <c r="H436">
        <v>1</v>
      </c>
      <c r="I436">
        <v>300</v>
      </c>
      <c r="J436">
        <v>4</v>
      </c>
      <c r="K436">
        <v>5</v>
      </c>
      <c r="L436" t="s">
        <v>18</v>
      </c>
    </row>
    <row r="437" spans="1:12">
      <c r="A437" t="s">
        <v>880</v>
      </c>
      <c r="B437" s="2">
        <v>45018</v>
      </c>
      <c r="C437" t="s">
        <v>881</v>
      </c>
      <c r="D437" t="s">
        <v>21</v>
      </c>
      <c r="E437" t="s">
        <v>22</v>
      </c>
      <c r="F437" t="s">
        <v>65</v>
      </c>
      <c r="G437" t="s">
        <v>17</v>
      </c>
      <c r="H437">
        <v>3</v>
      </c>
      <c r="I437">
        <v>300</v>
      </c>
      <c r="J437">
        <v>5</v>
      </c>
      <c r="K437">
        <v>5</v>
      </c>
      <c r="L437" t="s">
        <v>28</v>
      </c>
    </row>
    <row r="438" spans="1:12">
      <c r="A438" t="s">
        <v>882</v>
      </c>
      <c r="B438" s="2">
        <v>44984</v>
      </c>
      <c r="C438" t="s">
        <v>883</v>
      </c>
      <c r="D438" t="s">
        <v>52</v>
      </c>
      <c r="E438" t="s">
        <v>27</v>
      </c>
      <c r="F438" t="s">
        <v>23</v>
      </c>
      <c r="G438" t="s">
        <v>17</v>
      </c>
      <c r="H438">
        <v>2</v>
      </c>
      <c r="I438">
        <v>800</v>
      </c>
      <c r="J438">
        <v>1</v>
      </c>
      <c r="K438">
        <v>3</v>
      </c>
      <c r="L438" t="s">
        <v>33</v>
      </c>
    </row>
    <row r="439" spans="1:12">
      <c r="A439" t="s">
        <v>884</v>
      </c>
      <c r="B439" s="2">
        <v>45272</v>
      </c>
      <c r="C439" t="s">
        <v>529</v>
      </c>
      <c r="D439" t="s">
        <v>14</v>
      </c>
      <c r="E439" t="s">
        <v>15</v>
      </c>
      <c r="F439" t="s">
        <v>23</v>
      </c>
      <c r="G439" t="s">
        <v>17</v>
      </c>
      <c r="H439">
        <v>3</v>
      </c>
      <c r="I439">
        <v>800</v>
      </c>
      <c r="J439">
        <v>1</v>
      </c>
      <c r="K439">
        <v>9</v>
      </c>
      <c r="L439" t="s">
        <v>18</v>
      </c>
    </row>
    <row r="440" spans="1:12">
      <c r="A440" t="s">
        <v>885</v>
      </c>
      <c r="B440" s="2">
        <v>45155</v>
      </c>
      <c r="C440" t="s">
        <v>886</v>
      </c>
      <c r="D440" t="s">
        <v>14</v>
      </c>
      <c r="E440" t="s">
        <v>15</v>
      </c>
      <c r="F440" t="s">
        <v>16</v>
      </c>
      <c r="G440" t="s">
        <v>24</v>
      </c>
      <c r="H440">
        <v>1</v>
      </c>
      <c r="I440">
        <v>800</v>
      </c>
      <c r="J440">
        <v>3</v>
      </c>
      <c r="K440">
        <v>4</v>
      </c>
      <c r="L440" t="s">
        <v>33</v>
      </c>
    </row>
    <row r="441" spans="1:12">
      <c r="A441" t="s">
        <v>887</v>
      </c>
      <c r="B441" s="2">
        <v>45043</v>
      </c>
      <c r="C441" t="s">
        <v>888</v>
      </c>
      <c r="D441" t="s">
        <v>52</v>
      </c>
      <c r="E441" t="s">
        <v>15</v>
      </c>
      <c r="F441" t="s">
        <v>23</v>
      </c>
      <c r="G441" t="s">
        <v>24</v>
      </c>
      <c r="H441">
        <v>3</v>
      </c>
      <c r="I441">
        <v>300</v>
      </c>
      <c r="J441">
        <v>2</v>
      </c>
      <c r="K441">
        <v>3</v>
      </c>
      <c r="L441" t="s">
        <v>18</v>
      </c>
    </row>
    <row r="442" spans="1:12">
      <c r="A442" t="s">
        <v>889</v>
      </c>
      <c r="B442" s="2">
        <v>45244</v>
      </c>
      <c r="C442" t="s">
        <v>890</v>
      </c>
      <c r="D442" t="s">
        <v>52</v>
      </c>
      <c r="E442" t="s">
        <v>22</v>
      </c>
      <c r="F442" t="s">
        <v>16</v>
      </c>
      <c r="G442" t="s">
        <v>17</v>
      </c>
      <c r="H442">
        <v>4</v>
      </c>
      <c r="I442">
        <v>300</v>
      </c>
      <c r="J442">
        <v>4</v>
      </c>
      <c r="K442">
        <v>2</v>
      </c>
      <c r="L442" t="s">
        <v>18</v>
      </c>
    </row>
    <row r="443" spans="1:12">
      <c r="A443" t="s">
        <v>891</v>
      </c>
      <c r="B443" s="2">
        <v>45205</v>
      </c>
      <c r="C443" t="s">
        <v>892</v>
      </c>
      <c r="D443" t="s">
        <v>21</v>
      </c>
      <c r="E443" t="s">
        <v>31</v>
      </c>
      <c r="F443" t="s">
        <v>32</v>
      </c>
      <c r="G443" t="s">
        <v>17</v>
      </c>
      <c r="H443">
        <v>3</v>
      </c>
      <c r="I443">
        <v>800</v>
      </c>
      <c r="J443">
        <v>4</v>
      </c>
      <c r="K443">
        <v>9</v>
      </c>
      <c r="L443" t="s">
        <v>28</v>
      </c>
    </row>
    <row r="444" spans="1:12">
      <c r="A444" t="s">
        <v>893</v>
      </c>
      <c r="B444" s="2">
        <v>45053</v>
      </c>
      <c r="C444" t="s">
        <v>894</v>
      </c>
      <c r="D444" t="s">
        <v>52</v>
      </c>
      <c r="E444" t="s">
        <v>22</v>
      </c>
      <c r="F444" t="s">
        <v>65</v>
      </c>
      <c r="G444" t="s">
        <v>24</v>
      </c>
      <c r="H444">
        <v>1</v>
      </c>
      <c r="I444">
        <v>800</v>
      </c>
      <c r="J444">
        <v>2</v>
      </c>
      <c r="K444">
        <v>4</v>
      </c>
      <c r="L444" t="s">
        <v>49</v>
      </c>
    </row>
    <row r="445" spans="1:12">
      <c r="A445" t="s">
        <v>895</v>
      </c>
      <c r="B445" s="2">
        <v>45055</v>
      </c>
      <c r="C445" t="s">
        <v>896</v>
      </c>
      <c r="D445" t="s">
        <v>14</v>
      </c>
      <c r="E445" t="s">
        <v>22</v>
      </c>
      <c r="F445" t="s">
        <v>32</v>
      </c>
      <c r="G445" t="s">
        <v>17</v>
      </c>
      <c r="H445">
        <v>4</v>
      </c>
      <c r="I445">
        <v>1200</v>
      </c>
      <c r="J445">
        <v>1</v>
      </c>
      <c r="K445">
        <v>3</v>
      </c>
      <c r="L445" t="s">
        <v>28</v>
      </c>
    </row>
    <row r="446" spans="1:12">
      <c r="A446" t="s">
        <v>897</v>
      </c>
      <c r="B446" s="2">
        <v>44984</v>
      </c>
      <c r="C446" t="s">
        <v>898</v>
      </c>
      <c r="D446" t="s">
        <v>52</v>
      </c>
      <c r="E446" t="s">
        <v>31</v>
      </c>
      <c r="F446" t="s">
        <v>23</v>
      </c>
      <c r="G446" t="s">
        <v>24</v>
      </c>
      <c r="H446">
        <v>3</v>
      </c>
      <c r="I446">
        <v>800</v>
      </c>
      <c r="J446">
        <v>3</v>
      </c>
      <c r="K446">
        <v>7</v>
      </c>
      <c r="L446" t="s">
        <v>33</v>
      </c>
    </row>
    <row r="447" spans="1:12">
      <c r="A447" t="s">
        <v>899</v>
      </c>
      <c r="B447" s="2">
        <v>45048</v>
      </c>
      <c r="C447" t="s">
        <v>900</v>
      </c>
      <c r="D447" t="s">
        <v>21</v>
      </c>
      <c r="E447" t="s">
        <v>27</v>
      </c>
      <c r="F447" t="s">
        <v>32</v>
      </c>
      <c r="G447" t="s">
        <v>24</v>
      </c>
      <c r="H447">
        <v>3</v>
      </c>
      <c r="I447">
        <v>1200</v>
      </c>
      <c r="J447">
        <v>3</v>
      </c>
      <c r="K447">
        <v>8</v>
      </c>
      <c r="L447" t="s">
        <v>33</v>
      </c>
    </row>
    <row r="448" spans="1:12">
      <c r="A448" t="s">
        <v>901</v>
      </c>
      <c r="B448" s="2">
        <v>44927</v>
      </c>
      <c r="C448" t="s">
        <v>902</v>
      </c>
      <c r="D448" t="s">
        <v>21</v>
      </c>
      <c r="E448" t="s">
        <v>15</v>
      </c>
      <c r="F448" t="s">
        <v>32</v>
      </c>
      <c r="G448" t="s">
        <v>17</v>
      </c>
      <c r="H448">
        <v>4</v>
      </c>
      <c r="I448">
        <v>500</v>
      </c>
      <c r="J448">
        <v>4</v>
      </c>
      <c r="K448">
        <v>2</v>
      </c>
      <c r="L448" t="s">
        <v>18</v>
      </c>
    </row>
    <row r="449" spans="1:12">
      <c r="A449" t="s">
        <v>903</v>
      </c>
      <c r="B449" s="2">
        <v>45165</v>
      </c>
      <c r="C449" t="s">
        <v>904</v>
      </c>
      <c r="D449" t="s">
        <v>21</v>
      </c>
      <c r="E449" t="s">
        <v>27</v>
      </c>
      <c r="F449" t="s">
        <v>32</v>
      </c>
      <c r="G449" t="s">
        <v>17</v>
      </c>
      <c r="H449">
        <v>2</v>
      </c>
      <c r="I449">
        <v>300</v>
      </c>
      <c r="J449">
        <v>3</v>
      </c>
      <c r="K449">
        <v>7</v>
      </c>
      <c r="L449" t="s">
        <v>18</v>
      </c>
    </row>
    <row r="450" spans="1:12">
      <c r="A450" t="s">
        <v>905</v>
      </c>
      <c r="B450" s="2">
        <v>45216</v>
      </c>
      <c r="C450" t="s">
        <v>906</v>
      </c>
      <c r="D450" t="s">
        <v>21</v>
      </c>
      <c r="E450" t="s">
        <v>15</v>
      </c>
      <c r="F450" t="s">
        <v>23</v>
      </c>
      <c r="G450" t="s">
        <v>17</v>
      </c>
      <c r="H450">
        <v>4</v>
      </c>
      <c r="I450">
        <v>800</v>
      </c>
      <c r="J450">
        <v>2</v>
      </c>
      <c r="K450">
        <v>5</v>
      </c>
      <c r="L450" t="s">
        <v>49</v>
      </c>
    </row>
    <row r="451" spans="1:12">
      <c r="A451" t="s">
        <v>907</v>
      </c>
      <c r="B451" s="2">
        <v>45022</v>
      </c>
      <c r="C451" t="s">
        <v>908</v>
      </c>
      <c r="D451" t="s">
        <v>21</v>
      </c>
      <c r="E451" t="s">
        <v>22</v>
      </c>
      <c r="F451" t="s">
        <v>32</v>
      </c>
      <c r="G451" t="s">
        <v>17</v>
      </c>
      <c r="H451">
        <v>2</v>
      </c>
      <c r="I451">
        <v>300</v>
      </c>
      <c r="J451">
        <v>1</v>
      </c>
      <c r="K451">
        <v>5</v>
      </c>
      <c r="L451" t="s">
        <v>28</v>
      </c>
    </row>
    <row r="452" spans="1:12">
      <c r="A452" t="s">
        <v>909</v>
      </c>
      <c r="B452" s="2">
        <v>45052</v>
      </c>
      <c r="C452" t="s">
        <v>910</v>
      </c>
      <c r="D452" t="s">
        <v>52</v>
      </c>
      <c r="E452" t="s">
        <v>15</v>
      </c>
      <c r="F452" t="s">
        <v>16</v>
      </c>
      <c r="G452" t="s">
        <v>24</v>
      </c>
      <c r="H452">
        <v>1</v>
      </c>
      <c r="I452">
        <v>300</v>
      </c>
      <c r="J452">
        <v>2</v>
      </c>
      <c r="K452">
        <v>3</v>
      </c>
      <c r="L452" t="s">
        <v>33</v>
      </c>
    </row>
    <row r="453" spans="1:12">
      <c r="A453" t="s">
        <v>911</v>
      </c>
      <c r="B453" s="2">
        <v>45044</v>
      </c>
      <c r="C453" t="s">
        <v>912</v>
      </c>
      <c r="D453" t="s">
        <v>52</v>
      </c>
      <c r="E453" t="s">
        <v>22</v>
      </c>
      <c r="F453" t="s">
        <v>23</v>
      </c>
      <c r="G453" t="s">
        <v>24</v>
      </c>
      <c r="H453">
        <v>1</v>
      </c>
      <c r="I453">
        <v>300</v>
      </c>
      <c r="J453">
        <v>5</v>
      </c>
      <c r="K453">
        <v>5</v>
      </c>
      <c r="L453" t="s">
        <v>18</v>
      </c>
    </row>
    <row r="454" spans="1:12">
      <c r="A454" t="s">
        <v>913</v>
      </c>
      <c r="B454" s="2">
        <v>44974</v>
      </c>
      <c r="C454" t="s">
        <v>914</v>
      </c>
      <c r="D454" t="s">
        <v>52</v>
      </c>
      <c r="E454" t="s">
        <v>27</v>
      </c>
      <c r="F454" t="s">
        <v>32</v>
      </c>
      <c r="G454" t="s">
        <v>24</v>
      </c>
      <c r="H454">
        <v>4</v>
      </c>
      <c r="I454">
        <v>500</v>
      </c>
      <c r="J454">
        <v>4</v>
      </c>
      <c r="K454">
        <v>2</v>
      </c>
      <c r="L454" t="s">
        <v>49</v>
      </c>
    </row>
    <row r="455" spans="1:12">
      <c r="A455" t="s">
        <v>915</v>
      </c>
      <c r="B455" s="2">
        <v>45015</v>
      </c>
      <c r="C455" t="s">
        <v>916</v>
      </c>
      <c r="D455" t="s">
        <v>52</v>
      </c>
      <c r="E455" t="s">
        <v>22</v>
      </c>
      <c r="F455" t="s">
        <v>23</v>
      </c>
      <c r="G455" t="s">
        <v>17</v>
      </c>
      <c r="H455">
        <v>4</v>
      </c>
      <c r="I455">
        <v>150</v>
      </c>
      <c r="J455">
        <v>3</v>
      </c>
      <c r="K455">
        <v>4</v>
      </c>
      <c r="L455" t="s">
        <v>33</v>
      </c>
    </row>
    <row r="456" spans="1:12">
      <c r="A456" t="s">
        <v>917</v>
      </c>
      <c r="B456" s="2">
        <v>45163</v>
      </c>
      <c r="C456" t="s">
        <v>918</v>
      </c>
      <c r="D456" t="s">
        <v>21</v>
      </c>
      <c r="E456" t="s">
        <v>27</v>
      </c>
      <c r="F456" t="s">
        <v>44</v>
      </c>
      <c r="G456" t="s">
        <v>24</v>
      </c>
      <c r="H456">
        <v>1</v>
      </c>
      <c r="I456">
        <v>800</v>
      </c>
      <c r="J456">
        <v>5</v>
      </c>
      <c r="K456">
        <v>6</v>
      </c>
      <c r="L456" t="s">
        <v>18</v>
      </c>
    </row>
    <row r="457" spans="1:12">
      <c r="A457" t="s">
        <v>919</v>
      </c>
      <c r="B457" s="2">
        <v>45198</v>
      </c>
      <c r="C457" t="s">
        <v>920</v>
      </c>
      <c r="D457" t="s">
        <v>14</v>
      </c>
      <c r="E457" t="s">
        <v>31</v>
      </c>
      <c r="F457" t="s">
        <v>16</v>
      </c>
      <c r="G457" t="s">
        <v>17</v>
      </c>
      <c r="H457">
        <v>2</v>
      </c>
      <c r="I457">
        <v>150</v>
      </c>
      <c r="J457">
        <v>3</v>
      </c>
      <c r="K457">
        <v>1</v>
      </c>
      <c r="L457" t="s">
        <v>33</v>
      </c>
    </row>
    <row r="458" spans="1:12">
      <c r="A458" t="s">
        <v>921</v>
      </c>
      <c r="B458" s="2">
        <v>45115</v>
      </c>
      <c r="C458" t="s">
        <v>922</v>
      </c>
      <c r="D458" t="s">
        <v>52</v>
      </c>
      <c r="E458" t="s">
        <v>31</v>
      </c>
      <c r="F458" t="s">
        <v>32</v>
      </c>
      <c r="G458" t="s">
        <v>17</v>
      </c>
      <c r="H458">
        <v>1</v>
      </c>
      <c r="I458">
        <v>150</v>
      </c>
      <c r="J458">
        <v>1</v>
      </c>
      <c r="K458">
        <v>4</v>
      </c>
      <c r="L458" t="s">
        <v>49</v>
      </c>
    </row>
    <row r="459" spans="1:12">
      <c r="A459" t="s">
        <v>923</v>
      </c>
      <c r="B459" s="2">
        <v>45118</v>
      </c>
      <c r="C459" t="s">
        <v>924</v>
      </c>
      <c r="D459" t="s">
        <v>14</v>
      </c>
      <c r="E459" t="s">
        <v>31</v>
      </c>
      <c r="F459" t="s">
        <v>44</v>
      </c>
      <c r="G459" t="s">
        <v>17</v>
      </c>
      <c r="H459">
        <v>4</v>
      </c>
      <c r="I459">
        <v>150</v>
      </c>
      <c r="J459">
        <v>1</v>
      </c>
      <c r="K459">
        <v>6</v>
      </c>
      <c r="L459" t="s">
        <v>49</v>
      </c>
    </row>
    <row r="460" spans="1:12">
      <c r="A460" t="s">
        <v>925</v>
      </c>
      <c r="B460" s="2">
        <v>44995</v>
      </c>
      <c r="C460" t="s">
        <v>926</v>
      </c>
      <c r="D460" t="s">
        <v>52</v>
      </c>
      <c r="E460" t="s">
        <v>22</v>
      </c>
      <c r="F460" t="s">
        <v>44</v>
      </c>
      <c r="G460" t="s">
        <v>17</v>
      </c>
      <c r="H460">
        <v>1</v>
      </c>
      <c r="I460">
        <v>300</v>
      </c>
      <c r="J460">
        <v>1</v>
      </c>
      <c r="K460">
        <v>9</v>
      </c>
      <c r="L460" t="s">
        <v>33</v>
      </c>
    </row>
    <row r="461" spans="1:12">
      <c r="A461" t="s">
        <v>927</v>
      </c>
      <c r="B461" s="2">
        <v>45204</v>
      </c>
      <c r="C461" t="s">
        <v>928</v>
      </c>
      <c r="D461" t="s">
        <v>52</v>
      </c>
      <c r="E461" t="s">
        <v>31</v>
      </c>
      <c r="F461" t="s">
        <v>23</v>
      </c>
      <c r="G461" t="s">
        <v>17</v>
      </c>
      <c r="H461">
        <v>4</v>
      </c>
      <c r="I461">
        <v>1200</v>
      </c>
      <c r="J461">
        <v>3</v>
      </c>
      <c r="K461">
        <v>2</v>
      </c>
      <c r="L461" t="s">
        <v>28</v>
      </c>
    </row>
    <row r="462" spans="1:12">
      <c r="A462" t="s">
        <v>929</v>
      </c>
      <c r="B462" s="2">
        <v>45275</v>
      </c>
      <c r="C462" t="s">
        <v>930</v>
      </c>
      <c r="D462" t="s">
        <v>14</v>
      </c>
      <c r="E462" t="s">
        <v>15</v>
      </c>
      <c r="F462" t="s">
        <v>44</v>
      </c>
      <c r="G462" t="s">
        <v>17</v>
      </c>
      <c r="H462">
        <v>4</v>
      </c>
      <c r="I462">
        <v>300</v>
      </c>
      <c r="J462">
        <v>5</v>
      </c>
      <c r="K462">
        <v>7</v>
      </c>
      <c r="L462" t="s">
        <v>33</v>
      </c>
    </row>
    <row r="463" spans="1:12">
      <c r="A463" t="s">
        <v>931</v>
      </c>
      <c r="B463" s="2">
        <v>45173</v>
      </c>
      <c r="C463" t="s">
        <v>932</v>
      </c>
      <c r="D463" t="s">
        <v>21</v>
      </c>
      <c r="E463" t="s">
        <v>27</v>
      </c>
      <c r="F463" t="s">
        <v>16</v>
      </c>
      <c r="G463" t="s">
        <v>24</v>
      </c>
      <c r="H463">
        <v>1</v>
      </c>
      <c r="I463">
        <v>300</v>
      </c>
      <c r="J463">
        <v>1</v>
      </c>
      <c r="K463">
        <v>6</v>
      </c>
      <c r="L463" t="s">
        <v>18</v>
      </c>
    </row>
    <row r="464" spans="1:12">
      <c r="A464" t="s">
        <v>933</v>
      </c>
      <c r="B464" s="2">
        <v>45002</v>
      </c>
      <c r="C464" t="s">
        <v>934</v>
      </c>
      <c r="D464" t="s">
        <v>52</v>
      </c>
      <c r="E464" t="s">
        <v>27</v>
      </c>
      <c r="F464" t="s">
        <v>16</v>
      </c>
      <c r="G464" t="s">
        <v>17</v>
      </c>
      <c r="H464">
        <v>2</v>
      </c>
      <c r="I464">
        <v>150</v>
      </c>
      <c r="J464">
        <v>5</v>
      </c>
      <c r="K464">
        <v>2</v>
      </c>
      <c r="L464" t="s">
        <v>28</v>
      </c>
    </row>
    <row r="465" spans="1:12">
      <c r="A465" t="s">
        <v>935</v>
      </c>
      <c r="B465" s="2">
        <v>45080</v>
      </c>
      <c r="C465" t="s">
        <v>936</v>
      </c>
      <c r="D465" t="s">
        <v>52</v>
      </c>
      <c r="E465" t="s">
        <v>15</v>
      </c>
      <c r="F465" t="s">
        <v>65</v>
      </c>
      <c r="G465" t="s">
        <v>24</v>
      </c>
      <c r="H465">
        <v>3</v>
      </c>
      <c r="I465">
        <v>300</v>
      </c>
      <c r="J465">
        <v>3</v>
      </c>
      <c r="K465">
        <v>8</v>
      </c>
      <c r="L465" t="s">
        <v>18</v>
      </c>
    </row>
    <row r="466" spans="1:12">
      <c r="A466" t="s">
        <v>937</v>
      </c>
      <c r="B466" s="2">
        <v>45070</v>
      </c>
      <c r="C466" t="s">
        <v>938</v>
      </c>
      <c r="D466" t="s">
        <v>52</v>
      </c>
      <c r="E466" t="s">
        <v>22</v>
      </c>
      <c r="F466" t="s">
        <v>16</v>
      </c>
      <c r="G466" t="s">
        <v>24</v>
      </c>
      <c r="H466">
        <v>1</v>
      </c>
      <c r="I466">
        <v>150</v>
      </c>
      <c r="J466">
        <v>5</v>
      </c>
      <c r="K466">
        <v>7</v>
      </c>
      <c r="L466" t="s">
        <v>33</v>
      </c>
    </row>
    <row r="467" spans="1:12">
      <c r="A467" t="s">
        <v>939</v>
      </c>
      <c r="B467" s="2">
        <v>45012</v>
      </c>
      <c r="C467" t="s">
        <v>940</v>
      </c>
      <c r="D467" t="s">
        <v>14</v>
      </c>
      <c r="E467" t="s">
        <v>22</v>
      </c>
      <c r="F467" t="s">
        <v>44</v>
      </c>
      <c r="G467" t="s">
        <v>17</v>
      </c>
      <c r="H467">
        <v>3</v>
      </c>
      <c r="I467">
        <v>1200</v>
      </c>
      <c r="J467">
        <v>3</v>
      </c>
      <c r="K467">
        <v>5</v>
      </c>
      <c r="L467" t="s">
        <v>28</v>
      </c>
    </row>
    <row r="468" spans="1:12">
      <c r="A468" t="s">
        <v>941</v>
      </c>
      <c r="B468" s="2">
        <v>45111</v>
      </c>
      <c r="C468" t="s">
        <v>942</v>
      </c>
      <c r="D468" t="s">
        <v>21</v>
      </c>
      <c r="E468" t="s">
        <v>27</v>
      </c>
      <c r="F468" t="s">
        <v>16</v>
      </c>
      <c r="G468" t="s">
        <v>17</v>
      </c>
      <c r="H468">
        <v>1</v>
      </c>
      <c r="I468">
        <v>800</v>
      </c>
      <c r="J468">
        <v>3</v>
      </c>
      <c r="K468">
        <v>5</v>
      </c>
      <c r="L468" t="s">
        <v>18</v>
      </c>
    </row>
    <row r="469" spans="1:12">
      <c r="A469" t="s">
        <v>943</v>
      </c>
      <c r="B469" s="2">
        <v>45211</v>
      </c>
      <c r="C469" t="s">
        <v>944</v>
      </c>
      <c r="D469" t="s">
        <v>14</v>
      </c>
      <c r="E469" t="s">
        <v>31</v>
      </c>
      <c r="F469" t="s">
        <v>23</v>
      </c>
      <c r="G469" t="s">
        <v>17</v>
      </c>
      <c r="H469">
        <v>3</v>
      </c>
      <c r="I469">
        <v>150</v>
      </c>
      <c r="J469">
        <v>4</v>
      </c>
      <c r="K469">
        <v>7</v>
      </c>
      <c r="L469" t="s">
        <v>33</v>
      </c>
    </row>
    <row r="470" spans="1:12">
      <c r="A470" t="s">
        <v>945</v>
      </c>
      <c r="B470" s="2">
        <v>45146</v>
      </c>
      <c r="C470" t="s">
        <v>946</v>
      </c>
      <c r="D470" t="s">
        <v>14</v>
      </c>
      <c r="E470" t="s">
        <v>22</v>
      </c>
      <c r="F470" t="s">
        <v>65</v>
      </c>
      <c r="G470" t="s">
        <v>24</v>
      </c>
      <c r="H470">
        <v>2</v>
      </c>
      <c r="I470">
        <v>1200</v>
      </c>
      <c r="J470">
        <v>3</v>
      </c>
      <c r="K470">
        <v>9</v>
      </c>
      <c r="L470" t="s">
        <v>33</v>
      </c>
    </row>
    <row r="471" spans="1:12">
      <c r="A471" t="s">
        <v>947</v>
      </c>
      <c r="B471" s="2">
        <v>44995</v>
      </c>
      <c r="C471" t="s">
        <v>948</v>
      </c>
      <c r="D471" t="s">
        <v>21</v>
      </c>
      <c r="E471" t="s">
        <v>22</v>
      </c>
      <c r="F471" t="s">
        <v>44</v>
      </c>
      <c r="G471" t="s">
        <v>17</v>
      </c>
      <c r="H471">
        <v>2</v>
      </c>
      <c r="I471">
        <v>800</v>
      </c>
      <c r="J471">
        <v>3</v>
      </c>
      <c r="K471">
        <v>9</v>
      </c>
      <c r="L471" t="s">
        <v>28</v>
      </c>
    </row>
    <row r="472" spans="1:12">
      <c r="A472" t="s">
        <v>949</v>
      </c>
      <c r="B472" s="2">
        <v>44973</v>
      </c>
      <c r="C472" t="s">
        <v>950</v>
      </c>
      <c r="D472" t="s">
        <v>14</v>
      </c>
      <c r="E472" t="s">
        <v>15</v>
      </c>
      <c r="F472" t="s">
        <v>65</v>
      </c>
      <c r="G472" t="s">
        <v>24</v>
      </c>
      <c r="H472">
        <v>1</v>
      </c>
      <c r="I472">
        <v>500</v>
      </c>
      <c r="J472">
        <v>2</v>
      </c>
      <c r="K472">
        <v>9</v>
      </c>
      <c r="L472" t="s">
        <v>33</v>
      </c>
    </row>
    <row r="473" spans="1:12">
      <c r="A473" t="s">
        <v>951</v>
      </c>
      <c r="B473" s="2">
        <v>45020</v>
      </c>
      <c r="C473" t="s">
        <v>952</v>
      </c>
      <c r="D473" t="s">
        <v>21</v>
      </c>
      <c r="E473" t="s">
        <v>15</v>
      </c>
      <c r="F473" t="s">
        <v>44</v>
      </c>
      <c r="G473" t="s">
        <v>17</v>
      </c>
      <c r="H473">
        <v>4</v>
      </c>
      <c r="I473">
        <v>150</v>
      </c>
      <c r="J473">
        <v>1</v>
      </c>
      <c r="K473">
        <v>6</v>
      </c>
      <c r="L473" t="s">
        <v>49</v>
      </c>
    </row>
    <row r="474" spans="1:12">
      <c r="A474" t="s">
        <v>953</v>
      </c>
      <c r="B474" s="2">
        <v>45164</v>
      </c>
      <c r="C474" t="s">
        <v>954</v>
      </c>
      <c r="D474" t="s">
        <v>52</v>
      </c>
      <c r="E474" t="s">
        <v>31</v>
      </c>
      <c r="F474" t="s">
        <v>23</v>
      </c>
      <c r="G474" t="s">
        <v>17</v>
      </c>
      <c r="H474">
        <v>3</v>
      </c>
      <c r="I474">
        <v>150</v>
      </c>
      <c r="J474">
        <v>4</v>
      </c>
      <c r="K474">
        <v>6</v>
      </c>
      <c r="L474" t="s">
        <v>18</v>
      </c>
    </row>
    <row r="475" spans="1:12">
      <c r="A475" t="s">
        <v>955</v>
      </c>
      <c r="B475" s="2">
        <v>45130</v>
      </c>
      <c r="C475" t="s">
        <v>956</v>
      </c>
      <c r="D475" t="s">
        <v>21</v>
      </c>
      <c r="E475" t="s">
        <v>22</v>
      </c>
      <c r="F475" t="s">
        <v>65</v>
      </c>
      <c r="G475" t="s">
        <v>24</v>
      </c>
      <c r="H475">
        <v>4</v>
      </c>
      <c r="I475">
        <v>500</v>
      </c>
      <c r="J475">
        <v>4</v>
      </c>
      <c r="K475">
        <v>3</v>
      </c>
      <c r="L475" t="s">
        <v>18</v>
      </c>
    </row>
    <row r="476" spans="1:12">
      <c r="A476" t="s">
        <v>957</v>
      </c>
      <c r="B476" s="2">
        <v>45144</v>
      </c>
      <c r="C476" t="s">
        <v>958</v>
      </c>
      <c r="D476" t="s">
        <v>52</v>
      </c>
      <c r="E476" t="s">
        <v>22</v>
      </c>
      <c r="F476" t="s">
        <v>32</v>
      </c>
      <c r="G476" t="s">
        <v>24</v>
      </c>
      <c r="H476">
        <v>4</v>
      </c>
      <c r="I476">
        <v>500</v>
      </c>
      <c r="J476">
        <v>4</v>
      </c>
      <c r="K476">
        <v>1</v>
      </c>
      <c r="L476" t="s">
        <v>33</v>
      </c>
    </row>
    <row r="477" spans="1:12">
      <c r="A477" t="s">
        <v>959</v>
      </c>
      <c r="B477" s="2">
        <v>45267</v>
      </c>
      <c r="C477" t="s">
        <v>960</v>
      </c>
      <c r="D477" t="s">
        <v>14</v>
      </c>
      <c r="E477" t="s">
        <v>15</v>
      </c>
      <c r="F477" t="s">
        <v>44</v>
      </c>
      <c r="G477" t="s">
        <v>17</v>
      </c>
      <c r="H477">
        <v>4</v>
      </c>
      <c r="I477">
        <v>150</v>
      </c>
      <c r="J477">
        <v>2</v>
      </c>
      <c r="K477">
        <v>7</v>
      </c>
      <c r="L477" t="s">
        <v>33</v>
      </c>
    </row>
    <row r="478" spans="1:12">
      <c r="A478" t="s">
        <v>961</v>
      </c>
      <c r="B478" s="2">
        <v>44965</v>
      </c>
      <c r="C478" t="s">
        <v>962</v>
      </c>
      <c r="D478" t="s">
        <v>14</v>
      </c>
      <c r="E478" t="s">
        <v>22</v>
      </c>
      <c r="F478" t="s">
        <v>32</v>
      </c>
      <c r="G478" t="s">
        <v>24</v>
      </c>
      <c r="H478">
        <v>2</v>
      </c>
      <c r="I478">
        <v>500</v>
      </c>
      <c r="J478">
        <v>3</v>
      </c>
      <c r="K478">
        <v>4</v>
      </c>
      <c r="L478" t="s">
        <v>49</v>
      </c>
    </row>
    <row r="479" spans="1:12">
      <c r="A479" t="s">
        <v>963</v>
      </c>
      <c r="B479" s="2">
        <v>45026</v>
      </c>
      <c r="C479" t="s">
        <v>964</v>
      </c>
      <c r="D479" t="s">
        <v>52</v>
      </c>
      <c r="E479" t="s">
        <v>27</v>
      </c>
      <c r="F479" t="s">
        <v>65</v>
      </c>
      <c r="G479" t="s">
        <v>24</v>
      </c>
      <c r="H479">
        <v>1</v>
      </c>
      <c r="I479">
        <v>300</v>
      </c>
      <c r="J479">
        <v>1</v>
      </c>
      <c r="K479">
        <v>1</v>
      </c>
      <c r="L479" t="s">
        <v>28</v>
      </c>
    </row>
    <row r="480" spans="1:12">
      <c r="A480" t="s">
        <v>965</v>
      </c>
      <c r="B480" s="2">
        <v>45215</v>
      </c>
      <c r="C480" t="s">
        <v>966</v>
      </c>
      <c r="D480" t="s">
        <v>14</v>
      </c>
      <c r="E480" t="s">
        <v>15</v>
      </c>
      <c r="F480" t="s">
        <v>32</v>
      </c>
      <c r="G480" t="s">
        <v>24</v>
      </c>
      <c r="H480">
        <v>1</v>
      </c>
      <c r="I480">
        <v>800</v>
      </c>
      <c r="J480">
        <v>5</v>
      </c>
      <c r="K480">
        <v>8</v>
      </c>
      <c r="L480" t="s">
        <v>33</v>
      </c>
    </row>
    <row r="481" spans="1:12">
      <c r="A481" t="s">
        <v>967</v>
      </c>
      <c r="B481" s="2">
        <v>45180</v>
      </c>
      <c r="C481" t="s">
        <v>968</v>
      </c>
      <c r="D481" t="s">
        <v>21</v>
      </c>
      <c r="E481" t="s">
        <v>31</v>
      </c>
      <c r="F481" t="s">
        <v>32</v>
      </c>
      <c r="G481" t="s">
        <v>24</v>
      </c>
      <c r="H481">
        <v>2</v>
      </c>
      <c r="I481">
        <v>800</v>
      </c>
      <c r="J481">
        <v>3</v>
      </c>
      <c r="K481">
        <v>6</v>
      </c>
      <c r="L481" t="s">
        <v>33</v>
      </c>
    </row>
    <row r="482" spans="1:12">
      <c r="A482" t="s">
        <v>969</v>
      </c>
      <c r="B482" s="2">
        <v>45148</v>
      </c>
      <c r="C482" t="s">
        <v>970</v>
      </c>
      <c r="D482" t="s">
        <v>52</v>
      </c>
      <c r="E482" t="s">
        <v>15</v>
      </c>
      <c r="F482" t="s">
        <v>65</v>
      </c>
      <c r="G482" t="s">
        <v>24</v>
      </c>
      <c r="H482">
        <v>2</v>
      </c>
      <c r="I482">
        <v>800</v>
      </c>
      <c r="J482">
        <v>2</v>
      </c>
      <c r="K482">
        <v>6</v>
      </c>
      <c r="L482" t="s">
        <v>33</v>
      </c>
    </row>
    <row r="483" spans="1:12">
      <c r="A483" t="s">
        <v>971</v>
      </c>
      <c r="B483" s="2">
        <v>45283</v>
      </c>
      <c r="C483" t="s">
        <v>972</v>
      </c>
      <c r="D483" t="s">
        <v>14</v>
      </c>
      <c r="E483" t="s">
        <v>22</v>
      </c>
      <c r="F483" t="s">
        <v>23</v>
      </c>
      <c r="G483" t="s">
        <v>17</v>
      </c>
      <c r="H483">
        <v>1</v>
      </c>
      <c r="I483">
        <v>300</v>
      </c>
      <c r="J483">
        <v>3</v>
      </c>
      <c r="K483">
        <v>2</v>
      </c>
      <c r="L483" t="s">
        <v>33</v>
      </c>
    </row>
    <row r="484" spans="1:12">
      <c r="A484" t="s">
        <v>973</v>
      </c>
      <c r="B484" s="2">
        <v>44949</v>
      </c>
      <c r="C484" t="s">
        <v>974</v>
      </c>
      <c r="D484" t="s">
        <v>52</v>
      </c>
      <c r="E484" t="s">
        <v>31</v>
      </c>
      <c r="F484" t="s">
        <v>32</v>
      </c>
      <c r="G484" t="s">
        <v>17</v>
      </c>
      <c r="H484">
        <v>4</v>
      </c>
      <c r="I484">
        <v>500</v>
      </c>
      <c r="J484">
        <v>3</v>
      </c>
      <c r="K484">
        <v>1</v>
      </c>
      <c r="L484" t="s">
        <v>18</v>
      </c>
    </row>
    <row r="485" spans="1:12">
      <c r="A485" t="s">
        <v>975</v>
      </c>
      <c r="B485" s="2">
        <v>45176</v>
      </c>
      <c r="C485" t="s">
        <v>976</v>
      </c>
      <c r="D485" t="s">
        <v>21</v>
      </c>
      <c r="E485" t="s">
        <v>15</v>
      </c>
      <c r="F485" t="s">
        <v>32</v>
      </c>
      <c r="G485" t="s">
        <v>24</v>
      </c>
      <c r="H485">
        <v>3</v>
      </c>
      <c r="I485">
        <v>1200</v>
      </c>
      <c r="J485">
        <v>2</v>
      </c>
      <c r="K485">
        <v>2</v>
      </c>
      <c r="L485" t="s">
        <v>33</v>
      </c>
    </row>
    <row r="486" spans="1:12">
      <c r="A486" t="s">
        <v>977</v>
      </c>
      <c r="B486" s="2">
        <v>44936</v>
      </c>
      <c r="C486" t="s">
        <v>978</v>
      </c>
      <c r="D486" t="s">
        <v>21</v>
      </c>
      <c r="E486" t="s">
        <v>27</v>
      </c>
      <c r="F486" t="s">
        <v>23</v>
      </c>
      <c r="G486" t="s">
        <v>17</v>
      </c>
      <c r="H486">
        <v>3</v>
      </c>
      <c r="I486">
        <v>500</v>
      </c>
      <c r="J486">
        <v>4</v>
      </c>
      <c r="K486">
        <v>4</v>
      </c>
      <c r="L486" t="s">
        <v>18</v>
      </c>
    </row>
    <row r="487" spans="1:12">
      <c r="A487" t="s">
        <v>979</v>
      </c>
      <c r="B487" s="2">
        <v>45172</v>
      </c>
      <c r="C487" t="s">
        <v>732</v>
      </c>
      <c r="D487" t="s">
        <v>14</v>
      </c>
      <c r="E487" t="s">
        <v>27</v>
      </c>
      <c r="F487" t="s">
        <v>32</v>
      </c>
      <c r="G487" t="s">
        <v>17</v>
      </c>
      <c r="H487">
        <v>3</v>
      </c>
      <c r="I487">
        <v>150</v>
      </c>
      <c r="J487">
        <v>4</v>
      </c>
      <c r="K487">
        <v>2</v>
      </c>
      <c r="L487" t="s">
        <v>33</v>
      </c>
    </row>
    <row r="488" spans="1:12">
      <c r="A488" t="s">
        <v>980</v>
      </c>
      <c r="B488" s="2">
        <v>45251</v>
      </c>
      <c r="C488" t="s">
        <v>981</v>
      </c>
      <c r="D488" t="s">
        <v>21</v>
      </c>
      <c r="E488" t="s">
        <v>15</v>
      </c>
      <c r="F488" t="s">
        <v>32</v>
      </c>
      <c r="G488" t="s">
        <v>24</v>
      </c>
      <c r="H488">
        <v>4</v>
      </c>
      <c r="I488">
        <v>800</v>
      </c>
      <c r="J488">
        <v>1</v>
      </c>
      <c r="K488">
        <v>1</v>
      </c>
      <c r="L488" t="s">
        <v>28</v>
      </c>
    </row>
    <row r="489" spans="1:12">
      <c r="A489" t="s">
        <v>982</v>
      </c>
      <c r="B489" s="2">
        <v>45026</v>
      </c>
      <c r="C489" t="s">
        <v>983</v>
      </c>
      <c r="D489" t="s">
        <v>52</v>
      </c>
      <c r="E489" t="s">
        <v>27</v>
      </c>
      <c r="F489" t="s">
        <v>32</v>
      </c>
      <c r="G489" t="s">
        <v>17</v>
      </c>
      <c r="H489">
        <v>1</v>
      </c>
      <c r="I489">
        <v>500</v>
      </c>
      <c r="J489">
        <v>1</v>
      </c>
      <c r="K489">
        <v>7</v>
      </c>
      <c r="L489" t="s">
        <v>49</v>
      </c>
    </row>
    <row r="490" spans="1:12">
      <c r="A490" t="s">
        <v>984</v>
      </c>
      <c r="B490" s="2">
        <v>45216</v>
      </c>
      <c r="C490" t="s">
        <v>985</v>
      </c>
      <c r="D490" t="s">
        <v>21</v>
      </c>
      <c r="E490" t="s">
        <v>27</v>
      </c>
      <c r="F490" t="s">
        <v>16</v>
      </c>
      <c r="G490" t="s">
        <v>24</v>
      </c>
      <c r="H490">
        <v>2</v>
      </c>
      <c r="I490">
        <v>1200</v>
      </c>
      <c r="J490">
        <v>4</v>
      </c>
      <c r="K490">
        <v>8</v>
      </c>
      <c r="L490" t="s">
        <v>28</v>
      </c>
    </row>
    <row r="491" spans="1:12">
      <c r="A491" t="s">
        <v>986</v>
      </c>
      <c r="B491" s="2">
        <v>45106</v>
      </c>
      <c r="C491" t="s">
        <v>362</v>
      </c>
      <c r="D491" t="s">
        <v>52</v>
      </c>
      <c r="E491" t="s">
        <v>27</v>
      </c>
      <c r="F491" t="s">
        <v>23</v>
      </c>
      <c r="G491" t="s">
        <v>24</v>
      </c>
      <c r="H491">
        <v>1</v>
      </c>
      <c r="I491">
        <v>150</v>
      </c>
      <c r="J491">
        <v>5</v>
      </c>
      <c r="K491">
        <v>6</v>
      </c>
      <c r="L491" t="s">
        <v>33</v>
      </c>
    </row>
    <row r="492" spans="1:12">
      <c r="A492" t="s">
        <v>987</v>
      </c>
      <c r="B492" s="2">
        <v>45149</v>
      </c>
      <c r="C492" t="s">
        <v>988</v>
      </c>
      <c r="D492" t="s">
        <v>52</v>
      </c>
      <c r="E492" t="s">
        <v>31</v>
      </c>
      <c r="F492" t="s">
        <v>32</v>
      </c>
      <c r="G492" t="s">
        <v>17</v>
      </c>
      <c r="H492">
        <v>4</v>
      </c>
      <c r="I492">
        <v>300</v>
      </c>
      <c r="J492">
        <v>3</v>
      </c>
      <c r="K492">
        <v>4</v>
      </c>
      <c r="L492" t="s">
        <v>33</v>
      </c>
    </row>
    <row r="493" spans="1:12">
      <c r="A493" t="s">
        <v>989</v>
      </c>
      <c r="B493" s="2">
        <v>45176</v>
      </c>
      <c r="C493" t="s">
        <v>990</v>
      </c>
      <c r="D493" t="s">
        <v>21</v>
      </c>
      <c r="E493" t="s">
        <v>27</v>
      </c>
      <c r="F493" t="s">
        <v>23</v>
      </c>
      <c r="G493" t="s">
        <v>24</v>
      </c>
      <c r="H493">
        <v>2</v>
      </c>
      <c r="I493">
        <v>300</v>
      </c>
      <c r="J493">
        <v>5</v>
      </c>
      <c r="K493">
        <v>6</v>
      </c>
      <c r="L493" t="s">
        <v>33</v>
      </c>
    </row>
    <row r="494" spans="1:12">
      <c r="A494" t="s">
        <v>991</v>
      </c>
      <c r="B494" s="2">
        <v>45073</v>
      </c>
      <c r="C494" t="s">
        <v>992</v>
      </c>
      <c r="D494" t="s">
        <v>14</v>
      </c>
      <c r="E494" t="s">
        <v>27</v>
      </c>
      <c r="F494" t="s">
        <v>44</v>
      </c>
      <c r="G494" t="s">
        <v>24</v>
      </c>
      <c r="H494">
        <v>4</v>
      </c>
      <c r="I494">
        <v>1200</v>
      </c>
      <c r="J494">
        <v>3</v>
      </c>
      <c r="K494">
        <v>3</v>
      </c>
      <c r="L494" t="s">
        <v>28</v>
      </c>
    </row>
    <row r="495" spans="1:12">
      <c r="A495" t="s">
        <v>993</v>
      </c>
      <c r="B495" s="2">
        <v>45022</v>
      </c>
      <c r="C495" t="s">
        <v>994</v>
      </c>
      <c r="D495" t="s">
        <v>21</v>
      </c>
      <c r="E495" t="s">
        <v>27</v>
      </c>
      <c r="F495" t="s">
        <v>44</v>
      </c>
      <c r="G495" t="s">
        <v>24</v>
      </c>
      <c r="H495">
        <v>3</v>
      </c>
      <c r="I495">
        <v>150</v>
      </c>
      <c r="J495">
        <v>4</v>
      </c>
      <c r="K495">
        <v>8</v>
      </c>
      <c r="L495" t="s">
        <v>33</v>
      </c>
    </row>
    <row r="496" spans="1:12">
      <c r="A496" t="s">
        <v>995</v>
      </c>
      <c r="B496" s="2">
        <v>45183</v>
      </c>
      <c r="C496" t="s">
        <v>996</v>
      </c>
      <c r="D496" t="s">
        <v>52</v>
      </c>
      <c r="E496" t="s">
        <v>31</v>
      </c>
      <c r="F496" t="s">
        <v>32</v>
      </c>
      <c r="G496" t="s">
        <v>24</v>
      </c>
      <c r="H496">
        <v>3</v>
      </c>
      <c r="I496">
        <v>800</v>
      </c>
      <c r="J496">
        <v>1</v>
      </c>
      <c r="K496">
        <v>2</v>
      </c>
      <c r="L496" t="s">
        <v>28</v>
      </c>
    </row>
    <row r="497" spans="1:12">
      <c r="A497" t="s">
        <v>997</v>
      </c>
      <c r="B497" s="2">
        <v>45251</v>
      </c>
      <c r="C497" t="s">
        <v>998</v>
      </c>
      <c r="D497" t="s">
        <v>52</v>
      </c>
      <c r="E497" t="s">
        <v>15</v>
      </c>
      <c r="F497" t="s">
        <v>23</v>
      </c>
      <c r="G497" t="s">
        <v>24</v>
      </c>
      <c r="H497">
        <v>4</v>
      </c>
      <c r="I497">
        <v>500</v>
      </c>
      <c r="J497">
        <v>1</v>
      </c>
      <c r="K497">
        <v>5</v>
      </c>
      <c r="L497" t="s">
        <v>18</v>
      </c>
    </row>
    <row r="498" spans="1:12">
      <c r="A498" t="s">
        <v>999</v>
      </c>
      <c r="B498" s="2">
        <v>44930</v>
      </c>
      <c r="C498" t="s">
        <v>1000</v>
      </c>
      <c r="D498" t="s">
        <v>21</v>
      </c>
      <c r="E498" t="s">
        <v>22</v>
      </c>
      <c r="F498" t="s">
        <v>23</v>
      </c>
      <c r="G498" t="s">
        <v>17</v>
      </c>
      <c r="H498">
        <v>2</v>
      </c>
      <c r="I498">
        <v>150</v>
      </c>
      <c r="J498">
        <v>5</v>
      </c>
      <c r="K498">
        <v>1</v>
      </c>
      <c r="L498" t="s">
        <v>49</v>
      </c>
    </row>
    <row r="499" spans="1:12">
      <c r="A499" t="s">
        <v>1001</v>
      </c>
      <c r="B499" s="2">
        <v>44942</v>
      </c>
      <c r="C499" t="s">
        <v>1002</v>
      </c>
      <c r="D499" t="s">
        <v>14</v>
      </c>
      <c r="E499" t="s">
        <v>27</v>
      </c>
      <c r="F499" t="s">
        <v>23</v>
      </c>
      <c r="G499" t="s">
        <v>17</v>
      </c>
      <c r="H499">
        <v>2</v>
      </c>
      <c r="I499">
        <v>300</v>
      </c>
      <c r="J499">
        <v>1</v>
      </c>
      <c r="K499">
        <v>6</v>
      </c>
      <c r="L499" t="s">
        <v>49</v>
      </c>
    </row>
    <row r="500" spans="1:12">
      <c r="A500" t="s">
        <v>1003</v>
      </c>
      <c r="B500" s="2">
        <v>45206</v>
      </c>
      <c r="C500" t="s">
        <v>1004</v>
      </c>
      <c r="D500" t="s">
        <v>14</v>
      </c>
      <c r="E500" t="s">
        <v>15</v>
      </c>
      <c r="F500" t="s">
        <v>16</v>
      </c>
      <c r="G500" t="s">
        <v>24</v>
      </c>
      <c r="H500">
        <v>1</v>
      </c>
      <c r="I500">
        <v>1200</v>
      </c>
      <c r="J500">
        <v>4</v>
      </c>
      <c r="K500">
        <v>2</v>
      </c>
      <c r="L500" t="s">
        <v>28</v>
      </c>
    </row>
    <row r="501" spans="1:12">
      <c r="A501" t="s">
        <v>1005</v>
      </c>
      <c r="B501" s="2">
        <v>45262</v>
      </c>
      <c r="C501" t="s">
        <v>1006</v>
      </c>
      <c r="D501" t="s">
        <v>52</v>
      </c>
      <c r="E501" t="s">
        <v>27</v>
      </c>
      <c r="F501" t="s">
        <v>44</v>
      </c>
      <c r="G501" t="s">
        <v>24</v>
      </c>
      <c r="H501">
        <v>3</v>
      </c>
      <c r="I501">
        <v>1200</v>
      </c>
      <c r="J501">
        <v>5</v>
      </c>
      <c r="K501">
        <v>4</v>
      </c>
      <c r="L50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0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1007</v>
      </c>
      <c r="N1" s="1" t="s">
        <v>1008</v>
      </c>
      <c r="O1" s="1" t="s">
        <v>1009</v>
      </c>
      <c r="P1" s="1" t="s">
        <v>1010</v>
      </c>
      <c r="Q1" s="1" t="s">
        <v>1011</v>
      </c>
      <c r="R1" s="1" t="s">
        <v>1012</v>
      </c>
    </row>
    <row r="2" spans="1:18">
      <c r="A2">
        <f>RAW_DATA!A2</f>
        <v>0</v>
      </c>
      <c r="B2">
        <f>RAW_DATA!B2</f>
        <v>0</v>
      </c>
      <c r="C2">
        <f>RAW_DATA!C2</f>
        <v>0</v>
      </c>
      <c r="D2">
        <f>RAW_DATA!D2</f>
        <v>0</v>
      </c>
      <c r="E2">
        <f>RAW_DATA!E2</f>
        <v>0</v>
      </c>
      <c r="F2">
        <f>RAW_DATA!F2</f>
        <v>0</v>
      </c>
      <c r="G2">
        <f>RAW_DATA!G2</f>
        <v>0</v>
      </c>
      <c r="H2">
        <f>RAW_DATA!H2</f>
        <v>0</v>
      </c>
      <c r="I2">
        <f>RAW_DATA!I2</f>
        <v>0</v>
      </c>
      <c r="J2">
        <f>RAW_DATA!J2</f>
        <v>0</v>
      </c>
      <c r="K2">
        <f>RAW_DATA!K2</f>
        <v>0</v>
      </c>
      <c r="L2">
        <f>RAW_DATA!L2</f>
        <v>0</v>
      </c>
      <c r="M2">
        <f>H2*I2</f>
        <v>0</v>
      </c>
      <c r="N2">
        <f>ISOWEEKNUM(B2)</f>
        <v>0</v>
      </c>
      <c r="O2">
        <f>TEXT(B2,"mmm")</f>
        <v>0</v>
      </c>
      <c r="P2">
        <f>"Q"&amp;ROUNDUP(MONTH(B2)/3,0)</f>
        <v>0</v>
      </c>
      <c r="Q2">
        <f>IF(J2&gt;=4,"High",IF(J2&gt;=3,"Medium","Low"))</f>
        <v>0</v>
      </c>
      <c r="R2">
        <f>IF(K2&lt;=5,"On Time","Delayed")</f>
        <v>0</v>
      </c>
    </row>
    <row r="3" spans="1:18">
      <c r="A3">
        <f>RAW_DATA!A3</f>
        <v>0</v>
      </c>
      <c r="B3">
        <f>RAW_DATA!B3</f>
        <v>0</v>
      </c>
      <c r="C3">
        <f>RAW_DATA!C3</f>
        <v>0</v>
      </c>
      <c r="D3">
        <f>RAW_DATA!D3</f>
        <v>0</v>
      </c>
      <c r="E3">
        <f>RAW_DATA!E3</f>
        <v>0</v>
      </c>
      <c r="F3">
        <f>RAW_DATA!F3</f>
        <v>0</v>
      </c>
      <c r="G3">
        <f>RAW_DATA!G3</f>
        <v>0</v>
      </c>
      <c r="H3">
        <f>RAW_DATA!H3</f>
        <v>0</v>
      </c>
      <c r="I3">
        <f>RAW_DATA!I3</f>
        <v>0</v>
      </c>
      <c r="J3">
        <f>RAW_DATA!J3</f>
        <v>0</v>
      </c>
      <c r="K3">
        <f>RAW_DATA!K3</f>
        <v>0</v>
      </c>
      <c r="L3">
        <f>RAW_DATA!L3</f>
        <v>0</v>
      </c>
      <c r="M3">
        <f>H3*I3</f>
        <v>0</v>
      </c>
      <c r="N3">
        <f>ISOWEEKNUM(B3)</f>
        <v>0</v>
      </c>
      <c r="O3">
        <f>TEXT(B3,"mmm")</f>
        <v>0</v>
      </c>
      <c r="P3">
        <f>"Q"&amp;ROUNDUP(MONTH(B3)/3,0)</f>
        <v>0</v>
      </c>
      <c r="Q3">
        <f>IF(J3&gt;=4,"High",IF(J3&gt;=3,"Medium","Low"))</f>
        <v>0</v>
      </c>
      <c r="R3">
        <f>IF(K3&lt;=5,"On Time","Delayed")</f>
        <v>0</v>
      </c>
    </row>
    <row r="4" spans="1:18">
      <c r="A4">
        <f>RAW_DATA!A4</f>
        <v>0</v>
      </c>
      <c r="B4">
        <f>RAW_DATA!B4</f>
        <v>0</v>
      </c>
      <c r="C4">
        <f>RAW_DATA!C4</f>
        <v>0</v>
      </c>
      <c r="D4">
        <f>RAW_DATA!D4</f>
        <v>0</v>
      </c>
      <c r="E4">
        <f>RAW_DATA!E4</f>
        <v>0</v>
      </c>
      <c r="F4">
        <f>RAW_DATA!F4</f>
        <v>0</v>
      </c>
      <c r="G4">
        <f>RAW_DATA!G4</f>
        <v>0</v>
      </c>
      <c r="H4">
        <f>RAW_DATA!H4</f>
        <v>0</v>
      </c>
      <c r="I4">
        <f>RAW_DATA!I4</f>
        <v>0</v>
      </c>
      <c r="J4">
        <f>RAW_DATA!J4</f>
        <v>0</v>
      </c>
      <c r="K4">
        <f>RAW_DATA!K4</f>
        <v>0</v>
      </c>
      <c r="L4">
        <f>RAW_DATA!L4</f>
        <v>0</v>
      </c>
      <c r="M4">
        <f>H4*I4</f>
        <v>0</v>
      </c>
      <c r="N4">
        <f>ISOWEEKNUM(B4)</f>
        <v>0</v>
      </c>
      <c r="O4">
        <f>TEXT(B4,"mmm")</f>
        <v>0</v>
      </c>
      <c r="P4">
        <f>"Q"&amp;ROUNDUP(MONTH(B4)/3,0)</f>
        <v>0</v>
      </c>
      <c r="Q4">
        <f>IF(J4&gt;=4,"High",IF(J4&gt;=3,"Medium","Low"))</f>
        <v>0</v>
      </c>
      <c r="R4">
        <f>IF(K4&lt;=5,"On Time","Delayed")</f>
        <v>0</v>
      </c>
    </row>
    <row r="5" spans="1:18">
      <c r="A5">
        <f>RAW_DATA!A5</f>
        <v>0</v>
      </c>
      <c r="B5">
        <f>RAW_DATA!B5</f>
        <v>0</v>
      </c>
      <c r="C5">
        <f>RAW_DATA!C5</f>
        <v>0</v>
      </c>
      <c r="D5">
        <f>RAW_DATA!D5</f>
        <v>0</v>
      </c>
      <c r="E5">
        <f>RAW_DATA!E5</f>
        <v>0</v>
      </c>
      <c r="F5">
        <f>RAW_DATA!F5</f>
        <v>0</v>
      </c>
      <c r="G5">
        <f>RAW_DATA!G5</f>
        <v>0</v>
      </c>
      <c r="H5">
        <f>RAW_DATA!H5</f>
        <v>0</v>
      </c>
      <c r="I5">
        <f>RAW_DATA!I5</f>
        <v>0</v>
      </c>
      <c r="J5">
        <f>RAW_DATA!J5</f>
        <v>0</v>
      </c>
      <c r="K5">
        <f>RAW_DATA!K5</f>
        <v>0</v>
      </c>
      <c r="L5">
        <f>RAW_DATA!L5</f>
        <v>0</v>
      </c>
      <c r="M5">
        <f>H5*I5</f>
        <v>0</v>
      </c>
      <c r="N5">
        <f>ISOWEEKNUM(B5)</f>
        <v>0</v>
      </c>
      <c r="O5">
        <f>TEXT(B5,"mmm")</f>
        <v>0</v>
      </c>
      <c r="P5">
        <f>"Q"&amp;ROUNDUP(MONTH(B5)/3,0)</f>
        <v>0</v>
      </c>
      <c r="Q5">
        <f>IF(J5&gt;=4,"High",IF(J5&gt;=3,"Medium","Low"))</f>
        <v>0</v>
      </c>
      <c r="R5">
        <f>IF(K5&lt;=5,"On Time","Delayed")</f>
        <v>0</v>
      </c>
    </row>
    <row r="6" spans="1:18">
      <c r="A6">
        <f>RAW_DATA!A6</f>
        <v>0</v>
      </c>
      <c r="B6">
        <f>RAW_DATA!B6</f>
        <v>0</v>
      </c>
      <c r="C6">
        <f>RAW_DATA!C6</f>
        <v>0</v>
      </c>
      <c r="D6">
        <f>RAW_DATA!D6</f>
        <v>0</v>
      </c>
      <c r="E6">
        <f>RAW_DATA!E6</f>
        <v>0</v>
      </c>
      <c r="F6">
        <f>RAW_DATA!F6</f>
        <v>0</v>
      </c>
      <c r="G6">
        <f>RAW_DATA!G6</f>
        <v>0</v>
      </c>
      <c r="H6">
        <f>RAW_DATA!H6</f>
        <v>0</v>
      </c>
      <c r="I6">
        <f>RAW_DATA!I6</f>
        <v>0</v>
      </c>
      <c r="J6">
        <f>RAW_DATA!J6</f>
        <v>0</v>
      </c>
      <c r="K6">
        <f>RAW_DATA!K6</f>
        <v>0</v>
      </c>
      <c r="L6">
        <f>RAW_DATA!L6</f>
        <v>0</v>
      </c>
      <c r="M6">
        <f>H6*I6</f>
        <v>0</v>
      </c>
      <c r="N6">
        <f>ISOWEEKNUM(B6)</f>
        <v>0</v>
      </c>
      <c r="O6">
        <f>TEXT(B6,"mmm")</f>
        <v>0</v>
      </c>
      <c r="P6">
        <f>"Q"&amp;ROUNDUP(MONTH(B6)/3,0)</f>
        <v>0</v>
      </c>
      <c r="Q6">
        <f>IF(J6&gt;=4,"High",IF(J6&gt;=3,"Medium","Low"))</f>
        <v>0</v>
      </c>
      <c r="R6">
        <f>IF(K6&lt;=5,"On Time","Delayed")</f>
        <v>0</v>
      </c>
    </row>
    <row r="7" spans="1:18">
      <c r="A7">
        <f>RAW_DATA!A7</f>
        <v>0</v>
      </c>
      <c r="B7">
        <f>RAW_DATA!B7</f>
        <v>0</v>
      </c>
      <c r="C7">
        <f>RAW_DATA!C7</f>
        <v>0</v>
      </c>
      <c r="D7">
        <f>RAW_DATA!D7</f>
        <v>0</v>
      </c>
      <c r="E7">
        <f>RAW_DATA!E7</f>
        <v>0</v>
      </c>
      <c r="F7">
        <f>RAW_DATA!F7</f>
        <v>0</v>
      </c>
      <c r="G7">
        <f>RAW_DATA!G7</f>
        <v>0</v>
      </c>
      <c r="H7">
        <f>RAW_DATA!H7</f>
        <v>0</v>
      </c>
      <c r="I7">
        <f>RAW_DATA!I7</f>
        <v>0</v>
      </c>
      <c r="J7">
        <f>RAW_DATA!J7</f>
        <v>0</v>
      </c>
      <c r="K7">
        <f>RAW_DATA!K7</f>
        <v>0</v>
      </c>
      <c r="L7">
        <f>RAW_DATA!L7</f>
        <v>0</v>
      </c>
      <c r="M7">
        <f>H7*I7</f>
        <v>0</v>
      </c>
      <c r="N7">
        <f>ISOWEEKNUM(B7)</f>
        <v>0</v>
      </c>
      <c r="O7">
        <f>TEXT(B7,"mmm")</f>
        <v>0</v>
      </c>
      <c r="P7">
        <f>"Q"&amp;ROUNDUP(MONTH(B7)/3,0)</f>
        <v>0</v>
      </c>
      <c r="Q7">
        <f>IF(J7&gt;=4,"High",IF(J7&gt;=3,"Medium","Low"))</f>
        <v>0</v>
      </c>
      <c r="R7">
        <f>IF(K7&lt;=5,"On Time","Delayed")</f>
        <v>0</v>
      </c>
    </row>
    <row r="8" spans="1:18">
      <c r="A8">
        <f>RAW_DATA!A8</f>
        <v>0</v>
      </c>
      <c r="B8">
        <f>RAW_DATA!B8</f>
        <v>0</v>
      </c>
      <c r="C8">
        <f>RAW_DATA!C8</f>
        <v>0</v>
      </c>
      <c r="D8">
        <f>RAW_DATA!D8</f>
        <v>0</v>
      </c>
      <c r="E8">
        <f>RAW_DATA!E8</f>
        <v>0</v>
      </c>
      <c r="F8">
        <f>RAW_DATA!F8</f>
        <v>0</v>
      </c>
      <c r="G8">
        <f>RAW_DATA!G8</f>
        <v>0</v>
      </c>
      <c r="H8">
        <f>RAW_DATA!H8</f>
        <v>0</v>
      </c>
      <c r="I8">
        <f>RAW_DATA!I8</f>
        <v>0</v>
      </c>
      <c r="J8">
        <f>RAW_DATA!J8</f>
        <v>0</v>
      </c>
      <c r="K8">
        <f>RAW_DATA!K8</f>
        <v>0</v>
      </c>
      <c r="L8">
        <f>RAW_DATA!L8</f>
        <v>0</v>
      </c>
      <c r="M8">
        <f>H8*I8</f>
        <v>0</v>
      </c>
      <c r="N8">
        <f>ISOWEEKNUM(B8)</f>
        <v>0</v>
      </c>
      <c r="O8">
        <f>TEXT(B8,"mmm")</f>
        <v>0</v>
      </c>
      <c r="P8">
        <f>"Q"&amp;ROUNDUP(MONTH(B8)/3,0)</f>
        <v>0</v>
      </c>
      <c r="Q8">
        <f>IF(J8&gt;=4,"High",IF(J8&gt;=3,"Medium","Low"))</f>
        <v>0</v>
      </c>
      <c r="R8">
        <f>IF(K8&lt;=5,"On Time","Delayed")</f>
        <v>0</v>
      </c>
    </row>
    <row r="9" spans="1:18">
      <c r="A9">
        <f>RAW_DATA!A9</f>
        <v>0</v>
      </c>
      <c r="B9">
        <f>RAW_DATA!B9</f>
        <v>0</v>
      </c>
      <c r="C9">
        <f>RAW_DATA!C9</f>
        <v>0</v>
      </c>
      <c r="D9">
        <f>RAW_DATA!D9</f>
        <v>0</v>
      </c>
      <c r="E9">
        <f>RAW_DATA!E9</f>
        <v>0</v>
      </c>
      <c r="F9">
        <f>RAW_DATA!F9</f>
        <v>0</v>
      </c>
      <c r="G9">
        <f>RAW_DATA!G9</f>
        <v>0</v>
      </c>
      <c r="H9">
        <f>RAW_DATA!H9</f>
        <v>0</v>
      </c>
      <c r="I9">
        <f>RAW_DATA!I9</f>
        <v>0</v>
      </c>
      <c r="J9">
        <f>RAW_DATA!J9</f>
        <v>0</v>
      </c>
      <c r="K9">
        <f>RAW_DATA!K9</f>
        <v>0</v>
      </c>
      <c r="L9">
        <f>RAW_DATA!L9</f>
        <v>0</v>
      </c>
      <c r="M9">
        <f>H9*I9</f>
        <v>0</v>
      </c>
      <c r="N9">
        <f>ISOWEEKNUM(B9)</f>
        <v>0</v>
      </c>
      <c r="O9">
        <f>TEXT(B9,"mmm")</f>
        <v>0</v>
      </c>
      <c r="P9">
        <f>"Q"&amp;ROUNDUP(MONTH(B9)/3,0)</f>
        <v>0</v>
      </c>
      <c r="Q9">
        <f>IF(J9&gt;=4,"High",IF(J9&gt;=3,"Medium","Low"))</f>
        <v>0</v>
      </c>
      <c r="R9">
        <f>IF(K9&lt;=5,"On Time","Delayed")</f>
        <v>0</v>
      </c>
    </row>
    <row r="10" spans="1:18">
      <c r="A10">
        <f>RAW_DATA!A10</f>
        <v>0</v>
      </c>
      <c r="B10">
        <f>RAW_DATA!B10</f>
        <v>0</v>
      </c>
      <c r="C10">
        <f>RAW_DATA!C10</f>
        <v>0</v>
      </c>
      <c r="D10">
        <f>RAW_DATA!D10</f>
        <v>0</v>
      </c>
      <c r="E10">
        <f>RAW_DATA!E10</f>
        <v>0</v>
      </c>
      <c r="F10">
        <f>RAW_DATA!F10</f>
        <v>0</v>
      </c>
      <c r="G10">
        <f>RAW_DATA!G10</f>
        <v>0</v>
      </c>
      <c r="H10">
        <f>RAW_DATA!H10</f>
        <v>0</v>
      </c>
      <c r="I10">
        <f>RAW_DATA!I10</f>
        <v>0</v>
      </c>
      <c r="J10">
        <f>RAW_DATA!J10</f>
        <v>0</v>
      </c>
      <c r="K10">
        <f>RAW_DATA!K10</f>
        <v>0</v>
      </c>
      <c r="L10">
        <f>RAW_DATA!L10</f>
        <v>0</v>
      </c>
      <c r="M10">
        <f>H10*I10</f>
        <v>0</v>
      </c>
      <c r="N10">
        <f>ISOWEEKNUM(B10)</f>
        <v>0</v>
      </c>
      <c r="O10">
        <f>TEXT(B10,"mmm")</f>
        <v>0</v>
      </c>
      <c r="P10">
        <f>"Q"&amp;ROUNDUP(MONTH(B10)/3,0)</f>
        <v>0</v>
      </c>
      <c r="Q10">
        <f>IF(J10&gt;=4,"High",IF(J10&gt;=3,"Medium","Low"))</f>
        <v>0</v>
      </c>
      <c r="R10">
        <f>IF(K10&lt;=5,"On Time","Delayed")</f>
        <v>0</v>
      </c>
    </row>
    <row r="11" spans="1:18">
      <c r="A11">
        <f>RAW_DATA!A11</f>
        <v>0</v>
      </c>
      <c r="B11">
        <f>RAW_DATA!B11</f>
        <v>0</v>
      </c>
      <c r="C11">
        <f>RAW_DATA!C11</f>
        <v>0</v>
      </c>
      <c r="D11">
        <f>RAW_DATA!D11</f>
        <v>0</v>
      </c>
      <c r="E11">
        <f>RAW_DATA!E11</f>
        <v>0</v>
      </c>
      <c r="F11">
        <f>RAW_DATA!F11</f>
        <v>0</v>
      </c>
      <c r="G11">
        <f>RAW_DATA!G11</f>
        <v>0</v>
      </c>
      <c r="H11">
        <f>RAW_DATA!H11</f>
        <v>0</v>
      </c>
      <c r="I11">
        <f>RAW_DATA!I11</f>
        <v>0</v>
      </c>
      <c r="J11">
        <f>RAW_DATA!J11</f>
        <v>0</v>
      </c>
      <c r="K11">
        <f>RAW_DATA!K11</f>
        <v>0</v>
      </c>
      <c r="L11">
        <f>RAW_DATA!L11</f>
        <v>0</v>
      </c>
      <c r="M11">
        <f>H11*I11</f>
        <v>0</v>
      </c>
      <c r="N11">
        <f>ISOWEEKNUM(B11)</f>
        <v>0</v>
      </c>
      <c r="O11">
        <f>TEXT(B11,"mmm")</f>
        <v>0</v>
      </c>
      <c r="P11">
        <f>"Q"&amp;ROUNDUP(MONTH(B11)/3,0)</f>
        <v>0</v>
      </c>
      <c r="Q11">
        <f>IF(J11&gt;=4,"High",IF(J11&gt;=3,"Medium","Low"))</f>
        <v>0</v>
      </c>
      <c r="R11">
        <f>IF(K11&lt;=5,"On Time","Delayed")</f>
        <v>0</v>
      </c>
    </row>
    <row r="12" spans="1:18">
      <c r="A12">
        <f>RAW_DATA!A12</f>
        <v>0</v>
      </c>
      <c r="B12">
        <f>RAW_DATA!B12</f>
        <v>0</v>
      </c>
      <c r="C12">
        <f>RAW_DATA!C12</f>
        <v>0</v>
      </c>
      <c r="D12">
        <f>RAW_DATA!D12</f>
        <v>0</v>
      </c>
      <c r="E12">
        <f>RAW_DATA!E12</f>
        <v>0</v>
      </c>
      <c r="F12">
        <f>RAW_DATA!F12</f>
        <v>0</v>
      </c>
      <c r="G12">
        <f>RAW_DATA!G12</f>
        <v>0</v>
      </c>
      <c r="H12">
        <f>RAW_DATA!H12</f>
        <v>0</v>
      </c>
      <c r="I12">
        <f>RAW_DATA!I12</f>
        <v>0</v>
      </c>
      <c r="J12">
        <f>RAW_DATA!J12</f>
        <v>0</v>
      </c>
      <c r="K12">
        <f>RAW_DATA!K12</f>
        <v>0</v>
      </c>
      <c r="L12">
        <f>RAW_DATA!L12</f>
        <v>0</v>
      </c>
      <c r="M12">
        <f>H12*I12</f>
        <v>0</v>
      </c>
      <c r="N12">
        <f>ISOWEEKNUM(B12)</f>
        <v>0</v>
      </c>
      <c r="O12">
        <f>TEXT(B12,"mmm")</f>
        <v>0</v>
      </c>
      <c r="P12">
        <f>"Q"&amp;ROUNDUP(MONTH(B12)/3,0)</f>
        <v>0</v>
      </c>
      <c r="Q12">
        <f>IF(J12&gt;=4,"High",IF(J12&gt;=3,"Medium","Low"))</f>
        <v>0</v>
      </c>
      <c r="R12">
        <f>IF(K12&lt;=5,"On Time","Delayed")</f>
        <v>0</v>
      </c>
    </row>
    <row r="13" spans="1:18">
      <c r="A13">
        <f>RAW_DATA!A13</f>
        <v>0</v>
      </c>
      <c r="B13">
        <f>RAW_DATA!B13</f>
        <v>0</v>
      </c>
      <c r="C13">
        <f>RAW_DATA!C13</f>
        <v>0</v>
      </c>
      <c r="D13">
        <f>RAW_DATA!D13</f>
        <v>0</v>
      </c>
      <c r="E13">
        <f>RAW_DATA!E13</f>
        <v>0</v>
      </c>
      <c r="F13">
        <f>RAW_DATA!F13</f>
        <v>0</v>
      </c>
      <c r="G13">
        <f>RAW_DATA!G13</f>
        <v>0</v>
      </c>
      <c r="H13">
        <f>RAW_DATA!H13</f>
        <v>0</v>
      </c>
      <c r="I13">
        <f>RAW_DATA!I13</f>
        <v>0</v>
      </c>
      <c r="J13">
        <f>RAW_DATA!J13</f>
        <v>0</v>
      </c>
      <c r="K13">
        <f>RAW_DATA!K13</f>
        <v>0</v>
      </c>
      <c r="L13">
        <f>RAW_DATA!L13</f>
        <v>0</v>
      </c>
      <c r="M13">
        <f>H13*I13</f>
        <v>0</v>
      </c>
      <c r="N13">
        <f>ISOWEEKNUM(B13)</f>
        <v>0</v>
      </c>
      <c r="O13">
        <f>TEXT(B13,"mmm")</f>
        <v>0</v>
      </c>
      <c r="P13">
        <f>"Q"&amp;ROUNDUP(MONTH(B13)/3,0)</f>
        <v>0</v>
      </c>
      <c r="Q13">
        <f>IF(J13&gt;=4,"High",IF(J13&gt;=3,"Medium","Low"))</f>
        <v>0</v>
      </c>
      <c r="R13">
        <f>IF(K13&lt;=5,"On Time","Delayed")</f>
        <v>0</v>
      </c>
    </row>
    <row r="14" spans="1:18">
      <c r="A14">
        <f>RAW_DATA!A14</f>
        <v>0</v>
      </c>
      <c r="B14">
        <f>RAW_DATA!B14</f>
        <v>0</v>
      </c>
      <c r="C14">
        <f>RAW_DATA!C14</f>
        <v>0</v>
      </c>
      <c r="D14">
        <f>RAW_DATA!D14</f>
        <v>0</v>
      </c>
      <c r="E14">
        <f>RAW_DATA!E14</f>
        <v>0</v>
      </c>
      <c r="F14">
        <f>RAW_DATA!F14</f>
        <v>0</v>
      </c>
      <c r="G14">
        <f>RAW_DATA!G14</f>
        <v>0</v>
      </c>
      <c r="H14">
        <f>RAW_DATA!H14</f>
        <v>0</v>
      </c>
      <c r="I14">
        <f>RAW_DATA!I14</f>
        <v>0</v>
      </c>
      <c r="J14">
        <f>RAW_DATA!J14</f>
        <v>0</v>
      </c>
      <c r="K14">
        <f>RAW_DATA!K14</f>
        <v>0</v>
      </c>
      <c r="L14">
        <f>RAW_DATA!L14</f>
        <v>0</v>
      </c>
      <c r="M14">
        <f>H14*I14</f>
        <v>0</v>
      </c>
      <c r="N14">
        <f>ISOWEEKNUM(B14)</f>
        <v>0</v>
      </c>
      <c r="O14">
        <f>TEXT(B14,"mmm")</f>
        <v>0</v>
      </c>
      <c r="P14">
        <f>"Q"&amp;ROUNDUP(MONTH(B14)/3,0)</f>
        <v>0</v>
      </c>
      <c r="Q14">
        <f>IF(J14&gt;=4,"High",IF(J14&gt;=3,"Medium","Low"))</f>
        <v>0</v>
      </c>
      <c r="R14">
        <f>IF(K14&lt;=5,"On Time","Delayed")</f>
        <v>0</v>
      </c>
    </row>
    <row r="15" spans="1:18">
      <c r="A15">
        <f>RAW_DATA!A15</f>
        <v>0</v>
      </c>
      <c r="B15">
        <f>RAW_DATA!B15</f>
        <v>0</v>
      </c>
      <c r="C15">
        <f>RAW_DATA!C15</f>
        <v>0</v>
      </c>
      <c r="D15">
        <f>RAW_DATA!D15</f>
        <v>0</v>
      </c>
      <c r="E15">
        <f>RAW_DATA!E15</f>
        <v>0</v>
      </c>
      <c r="F15">
        <f>RAW_DATA!F15</f>
        <v>0</v>
      </c>
      <c r="G15">
        <f>RAW_DATA!G15</f>
        <v>0</v>
      </c>
      <c r="H15">
        <f>RAW_DATA!H15</f>
        <v>0</v>
      </c>
      <c r="I15">
        <f>RAW_DATA!I15</f>
        <v>0</v>
      </c>
      <c r="J15">
        <f>RAW_DATA!J15</f>
        <v>0</v>
      </c>
      <c r="K15">
        <f>RAW_DATA!K15</f>
        <v>0</v>
      </c>
      <c r="L15">
        <f>RAW_DATA!L15</f>
        <v>0</v>
      </c>
      <c r="M15">
        <f>H15*I15</f>
        <v>0</v>
      </c>
      <c r="N15">
        <f>ISOWEEKNUM(B15)</f>
        <v>0</v>
      </c>
      <c r="O15">
        <f>TEXT(B15,"mmm")</f>
        <v>0</v>
      </c>
      <c r="P15">
        <f>"Q"&amp;ROUNDUP(MONTH(B15)/3,0)</f>
        <v>0</v>
      </c>
      <c r="Q15">
        <f>IF(J15&gt;=4,"High",IF(J15&gt;=3,"Medium","Low"))</f>
        <v>0</v>
      </c>
      <c r="R15">
        <f>IF(K15&lt;=5,"On Time","Delayed")</f>
        <v>0</v>
      </c>
    </row>
    <row r="16" spans="1:18">
      <c r="A16">
        <f>RAW_DATA!A16</f>
        <v>0</v>
      </c>
      <c r="B16">
        <f>RAW_DATA!B16</f>
        <v>0</v>
      </c>
      <c r="C16">
        <f>RAW_DATA!C16</f>
        <v>0</v>
      </c>
      <c r="D16">
        <f>RAW_DATA!D16</f>
        <v>0</v>
      </c>
      <c r="E16">
        <f>RAW_DATA!E16</f>
        <v>0</v>
      </c>
      <c r="F16">
        <f>RAW_DATA!F16</f>
        <v>0</v>
      </c>
      <c r="G16">
        <f>RAW_DATA!G16</f>
        <v>0</v>
      </c>
      <c r="H16">
        <f>RAW_DATA!H16</f>
        <v>0</v>
      </c>
      <c r="I16">
        <f>RAW_DATA!I16</f>
        <v>0</v>
      </c>
      <c r="J16">
        <f>RAW_DATA!J16</f>
        <v>0</v>
      </c>
      <c r="K16">
        <f>RAW_DATA!K16</f>
        <v>0</v>
      </c>
      <c r="L16">
        <f>RAW_DATA!L16</f>
        <v>0</v>
      </c>
      <c r="M16">
        <f>H16*I16</f>
        <v>0</v>
      </c>
      <c r="N16">
        <f>ISOWEEKNUM(B16)</f>
        <v>0</v>
      </c>
      <c r="O16">
        <f>TEXT(B16,"mmm")</f>
        <v>0</v>
      </c>
      <c r="P16">
        <f>"Q"&amp;ROUNDUP(MONTH(B16)/3,0)</f>
        <v>0</v>
      </c>
      <c r="Q16">
        <f>IF(J16&gt;=4,"High",IF(J16&gt;=3,"Medium","Low"))</f>
        <v>0</v>
      </c>
      <c r="R16">
        <f>IF(K16&lt;=5,"On Time","Delayed")</f>
        <v>0</v>
      </c>
    </row>
    <row r="17" spans="1:18">
      <c r="A17">
        <f>RAW_DATA!A17</f>
        <v>0</v>
      </c>
      <c r="B17">
        <f>RAW_DATA!B17</f>
        <v>0</v>
      </c>
      <c r="C17">
        <f>RAW_DATA!C17</f>
        <v>0</v>
      </c>
      <c r="D17">
        <f>RAW_DATA!D17</f>
        <v>0</v>
      </c>
      <c r="E17">
        <f>RAW_DATA!E17</f>
        <v>0</v>
      </c>
      <c r="F17">
        <f>RAW_DATA!F17</f>
        <v>0</v>
      </c>
      <c r="G17">
        <f>RAW_DATA!G17</f>
        <v>0</v>
      </c>
      <c r="H17">
        <f>RAW_DATA!H17</f>
        <v>0</v>
      </c>
      <c r="I17">
        <f>RAW_DATA!I17</f>
        <v>0</v>
      </c>
      <c r="J17">
        <f>RAW_DATA!J17</f>
        <v>0</v>
      </c>
      <c r="K17">
        <f>RAW_DATA!K17</f>
        <v>0</v>
      </c>
      <c r="L17">
        <f>RAW_DATA!L17</f>
        <v>0</v>
      </c>
      <c r="M17">
        <f>H17*I17</f>
        <v>0</v>
      </c>
      <c r="N17">
        <f>ISOWEEKNUM(B17)</f>
        <v>0</v>
      </c>
      <c r="O17">
        <f>TEXT(B17,"mmm")</f>
        <v>0</v>
      </c>
      <c r="P17">
        <f>"Q"&amp;ROUNDUP(MONTH(B17)/3,0)</f>
        <v>0</v>
      </c>
      <c r="Q17">
        <f>IF(J17&gt;=4,"High",IF(J17&gt;=3,"Medium","Low"))</f>
        <v>0</v>
      </c>
      <c r="R17">
        <f>IF(K17&lt;=5,"On Time","Delayed")</f>
        <v>0</v>
      </c>
    </row>
    <row r="18" spans="1:18">
      <c r="A18">
        <f>RAW_DATA!A18</f>
        <v>0</v>
      </c>
      <c r="B18">
        <f>RAW_DATA!B18</f>
        <v>0</v>
      </c>
      <c r="C18">
        <f>RAW_DATA!C18</f>
        <v>0</v>
      </c>
      <c r="D18">
        <f>RAW_DATA!D18</f>
        <v>0</v>
      </c>
      <c r="E18">
        <f>RAW_DATA!E18</f>
        <v>0</v>
      </c>
      <c r="F18">
        <f>RAW_DATA!F18</f>
        <v>0</v>
      </c>
      <c r="G18">
        <f>RAW_DATA!G18</f>
        <v>0</v>
      </c>
      <c r="H18">
        <f>RAW_DATA!H18</f>
        <v>0</v>
      </c>
      <c r="I18">
        <f>RAW_DATA!I18</f>
        <v>0</v>
      </c>
      <c r="J18">
        <f>RAW_DATA!J18</f>
        <v>0</v>
      </c>
      <c r="K18">
        <f>RAW_DATA!K18</f>
        <v>0</v>
      </c>
      <c r="L18">
        <f>RAW_DATA!L18</f>
        <v>0</v>
      </c>
      <c r="M18">
        <f>H18*I18</f>
        <v>0</v>
      </c>
      <c r="N18">
        <f>ISOWEEKNUM(B18)</f>
        <v>0</v>
      </c>
      <c r="O18">
        <f>TEXT(B18,"mmm")</f>
        <v>0</v>
      </c>
      <c r="P18">
        <f>"Q"&amp;ROUNDUP(MONTH(B18)/3,0)</f>
        <v>0</v>
      </c>
      <c r="Q18">
        <f>IF(J18&gt;=4,"High",IF(J18&gt;=3,"Medium","Low"))</f>
        <v>0</v>
      </c>
      <c r="R18">
        <f>IF(K18&lt;=5,"On Time","Delayed")</f>
        <v>0</v>
      </c>
    </row>
    <row r="19" spans="1:18">
      <c r="A19">
        <f>RAW_DATA!A19</f>
        <v>0</v>
      </c>
      <c r="B19">
        <f>RAW_DATA!B19</f>
        <v>0</v>
      </c>
      <c r="C19">
        <f>RAW_DATA!C19</f>
        <v>0</v>
      </c>
      <c r="D19">
        <f>RAW_DATA!D19</f>
        <v>0</v>
      </c>
      <c r="E19">
        <f>RAW_DATA!E19</f>
        <v>0</v>
      </c>
      <c r="F19">
        <f>RAW_DATA!F19</f>
        <v>0</v>
      </c>
      <c r="G19">
        <f>RAW_DATA!G19</f>
        <v>0</v>
      </c>
      <c r="H19">
        <f>RAW_DATA!H19</f>
        <v>0</v>
      </c>
      <c r="I19">
        <f>RAW_DATA!I19</f>
        <v>0</v>
      </c>
      <c r="J19">
        <f>RAW_DATA!J19</f>
        <v>0</v>
      </c>
      <c r="K19">
        <f>RAW_DATA!K19</f>
        <v>0</v>
      </c>
      <c r="L19">
        <f>RAW_DATA!L19</f>
        <v>0</v>
      </c>
      <c r="M19">
        <f>H19*I19</f>
        <v>0</v>
      </c>
      <c r="N19">
        <f>ISOWEEKNUM(B19)</f>
        <v>0</v>
      </c>
      <c r="O19">
        <f>TEXT(B19,"mmm")</f>
        <v>0</v>
      </c>
      <c r="P19">
        <f>"Q"&amp;ROUNDUP(MONTH(B19)/3,0)</f>
        <v>0</v>
      </c>
      <c r="Q19">
        <f>IF(J19&gt;=4,"High",IF(J19&gt;=3,"Medium","Low"))</f>
        <v>0</v>
      </c>
      <c r="R19">
        <f>IF(K19&lt;=5,"On Time","Delayed")</f>
        <v>0</v>
      </c>
    </row>
    <row r="20" spans="1:18">
      <c r="A20">
        <f>RAW_DATA!A20</f>
        <v>0</v>
      </c>
      <c r="B20">
        <f>RAW_DATA!B20</f>
        <v>0</v>
      </c>
      <c r="C20">
        <f>RAW_DATA!C20</f>
        <v>0</v>
      </c>
      <c r="D20">
        <f>RAW_DATA!D20</f>
        <v>0</v>
      </c>
      <c r="E20">
        <f>RAW_DATA!E20</f>
        <v>0</v>
      </c>
      <c r="F20">
        <f>RAW_DATA!F20</f>
        <v>0</v>
      </c>
      <c r="G20">
        <f>RAW_DATA!G20</f>
        <v>0</v>
      </c>
      <c r="H20">
        <f>RAW_DATA!H20</f>
        <v>0</v>
      </c>
      <c r="I20">
        <f>RAW_DATA!I20</f>
        <v>0</v>
      </c>
      <c r="J20">
        <f>RAW_DATA!J20</f>
        <v>0</v>
      </c>
      <c r="K20">
        <f>RAW_DATA!K20</f>
        <v>0</v>
      </c>
      <c r="L20">
        <f>RAW_DATA!L20</f>
        <v>0</v>
      </c>
      <c r="M20">
        <f>H20*I20</f>
        <v>0</v>
      </c>
      <c r="N20">
        <f>ISOWEEKNUM(B20)</f>
        <v>0</v>
      </c>
      <c r="O20">
        <f>TEXT(B20,"mmm")</f>
        <v>0</v>
      </c>
      <c r="P20">
        <f>"Q"&amp;ROUNDUP(MONTH(B20)/3,0)</f>
        <v>0</v>
      </c>
      <c r="Q20">
        <f>IF(J20&gt;=4,"High",IF(J20&gt;=3,"Medium","Low"))</f>
        <v>0</v>
      </c>
      <c r="R20">
        <f>IF(K20&lt;=5,"On Time","Delayed")</f>
        <v>0</v>
      </c>
    </row>
    <row r="21" spans="1:18">
      <c r="A21">
        <f>RAW_DATA!A21</f>
        <v>0</v>
      </c>
      <c r="B21">
        <f>RAW_DATA!B21</f>
        <v>0</v>
      </c>
      <c r="C21">
        <f>RAW_DATA!C21</f>
        <v>0</v>
      </c>
      <c r="D21">
        <f>RAW_DATA!D21</f>
        <v>0</v>
      </c>
      <c r="E21">
        <f>RAW_DATA!E21</f>
        <v>0</v>
      </c>
      <c r="F21">
        <f>RAW_DATA!F21</f>
        <v>0</v>
      </c>
      <c r="G21">
        <f>RAW_DATA!G21</f>
        <v>0</v>
      </c>
      <c r="H21">
        <f>RAW_DATA!H21</f>
        <v>0</v>
      </c>
      <c r="I21">
        <f>RAW_DATA!I21</f>
        <v>0</v>
      </c>
      <c r="J21">
        <f>RAW_DATA!J21</f>
        <v>0</v>
      </c>
      <c r="K21">
        <f>RAW_DATA!K21</f>
        <v>0</v>
      </c>
      <c r="L21">
        <f>RAW_DATA!L21</f>
        <v>0</v>
      </c>
      <c r="M21">
        <f>H21*I21</f>
        <v>0</v>
      </c>
      <c r="N21">
        <f>ISOWEEKNUM(B21)</f>
        <v>0</v>
      </c>
      <c r="O21">
        <f>TEXT(B21,"mmm")</f>
        <v>0</v>
      </c>
      <c r="P21">
        <f>"Q"&amp;ROUNDUP(MONTH(B21)/3,0)</f>
        <v>0</v>
      </c>
      <c r="Q21">
        <f>IF(J21&gt;=4,"High",IF(J21&gt;=3,"Medium","Low"))</f>
        <v>0</v>
      </c>
      <c r="R21">
        <f>IF(K21&lt;=5,"On Time","Delayed")</f>
        <v>0</v>
      </c>
    </row>
    <row r="22" spans="1:18">
      <c r="A22">
        <f>RAW_DATA!A22</f>
        <v>0</v>
      </c>
      <c r="B22">
        <f>RAW_DATA!B22</f>
        <v>0</v>
      </c>
      <c r="C22">
        <f>RAW_DATA!C22</f>
        <v>0</v>
      </c>
      <c r="D22">
        <f>RAW_DATA!D22</f>
        <v>0</v>
      </c>
      <c r="E22">
        <f>RAW_DATA!E22</f>
        <v>0</v>
      </c>
      <c r="F22">
        <f>RAW_DATA!F22</f>
        <v>0</v>
      </c>
      <c r="G22">
        <f>RAW_DATA!G22</f>
        <v>0</v>
      </c>
      <c r="H22">
        <f>RAW_DATA!H22</f>
        <v>0</v>
      </c>
      <c r="I22">
        <f>RAW_DATA!I22</f>
        <v>0</v>
      </c>
      <c r="J22">
        <f>RAW_DATA!J22</f>
        <v>0</v>
      </c>
      <c r="K22">
        <f>RAW_DATA!K22</f>
        <v>0</v>
      </c>
      <c r="L22">
        <f>RAW_DATA!L22</f>
        <v>0</v>
      </c>
      <c r="M22">
        <f>H22*I22</f>
        <v>0</v>
      </c>
      <c r="N22">
        <f>ISOWEEKNUM(B22)</f>
        <v>0</v>
      </c>
      <c r="O22">
        <f>TEXT(B22,"mmm")</f>
        <v>0</v>
      </c>
      <c r="P22">
        <f>"Q"&amp;ROUNDUP(MONTH(B22)/3,0)</f>
        <v>0</v>
      </c>
      <c r="Q22">
        <f>IF(J22&gt;=4,"High",IF(J22&gt;=3,"Medium","Low"))</f>
        <v>0</v>
      </c>
      <c r="R22">
        <f>IF(K22&lt;=5,"On Time","Delayed")</f>
        <v>0</v>
      </c>
    </row>
    <row r="23" spans="1:18">
      <c r="A23">
        <f>RAW_DATA!A23</f>
        <v>0</v>
      </c>
      <c r="B23">
        <f>RAW_DATA!B23</f>
        <v>0</v>
      </c>
      <c r="C23">
        <f>RAW_DATA!C23</f>
        <v>0</v>
      </c>
      <c r="D23">
        <f>RAW_DATA!D23</f>
        <v>0</v>
      </c>
      <c r="E23">
        <f>RAW_DATA!E23</f>
        <v>0</v>
      </c>
      <c r="F23">
        <f>RAW_DATA!F23</f>
        <v>0</v>
      </c>
      <c r="G23">
        <f>RAW_DATA!G23</f>
        <v>0</v>
      </c>
      <c r="H23">
        <f>RAW_DATA!H23</f>
        <v>0</v>
      </c>
      <c r="I23">
        <f>RAW_DATA!I23</f>
        <v>0</v>
      </c>
      <c r="J23">
        <f>RAW_DATA!J23</f>
        <v>0</v>
      </c>
      <c r="K23">
        <f>RAW_DATA!K23</f>
        <v>0</v>
      </c>
      <c r="L23">
        <f>RAW_DATA!L23</f>
        <v>0</v>
      </c>
      <c r="M23">
        <f>H23*I23</f>
        <v>0</v>
      </c>
      <c r="N23">
        <f>ISOWEEKNUM(B23)</f>
        <v>0</v>
      </c>
      <c r="O23">
        <f>TEXT(B23,"mmm")</f>
        <v>0</v>
      </c>
      <c r="P23">
        <f>"Q"&amp;ROUNDUP(MONTH(B23)/3,0)</f>
        <v>0</v>
      </c>
      <c r="Q23">
        <f>IF(J23&gt;=4,"High",IF(J23&gt;=3,"Medium","Low"))</f>
        <v>0</v>
      </c>
      <c r="R23">
        <f>IF(K23&lt;=5,"On Time","Delayed")</f>
        <v>0</v>
      </c>
    </row>
    <row r="24" spans="1:18">
      <c r="A24">
        <f>RAW_DATA!A24</f>
        <v>0</v>
      </c>
      <c r="B24">
        <f>RAW_DATA!B24</f>
        <v>0</v>
      </c>
      <c r="C24">
        <f>RAW_DATA!C24</f>
        <v>0</v>
      </c>
      <c r="D24">
        <f>RAW_DATA!D24</f>
        <v>0</v>
      </c>
      <c r="E24">
        <f>RAW_DATA!E24</f>
        <v>0</v>
      </c>
      <c r="F24">
        <f>RAW_DATA!F24</f>
        <v>0</v>
      </c>
      <c r="G24">
        <f>RAW_DATA!G24</f>
        <v>0</v>
      </c>
      <c r="H24">
        <f>RAW_DATA!H24</f>
        <v>0</v>
      </c>
      <c r="I24">
        <f>RAW_DATA!I24</f>
        <v>0</v>
      </c>
      <c r="J24">
        <f>RAW_DATA!J24</f>
        <v>0</v>
      </c>
      <c r="K24">
        <f>RAW_DATA!K24</f>
        <v>0</v>
      </c>
      <c r="L24">
        <f>RAW_DATA!L24</f>
        <v>0</v>
      </c>
      <c r="M24">
        <f>H24*I24</f>
        <v>0</v>
      </c>
      <c r="N24">
        <f>ISOWEEKNUM(B24)</f>
        <v>0</v>
      </c>
      <c r="O24">
        <f>TEXT(B24,"mmm")</f>
        <v>0</v>
      </c>
      <c r="P24">
        <f>"Q"&amp;ROUNDUP(MONTH(B24)/3,0)</f>
        <v>0</v>
      </c>
      <c r="Q24">
        <f>IF(J24&gt;=4,"High",IF(J24&gt;=3,"Medium","Low"))</f>
        <v>0</v>
      </c>
      <c r="R24">
        <f>IF(K24&lt;=5,"On Time","Delayed")</f>
        <v>0</v>
      </c>
    </row>
    <row r="25" spans="1:18">
      <c r="A25">
        <f>RAW_DATA!A25</f>
        <v>0</v>
      </c>
      <c r="B25">
        <f>RAW_DATA!B25</f>
        <v>0</v>
      </c>
      <c r="C25">
        <f>RAW_DATA!C25</f>
        <v>0</v>
      </c>
      <c r="D25">
        <f>RAW_DATA!D25</f>
        <v>0</v>
      </c>
      <c r="E25">
        <f>RAW_DATA!E25</f>
        <v>0</v>
      </c>
      <c r="F25">
        <f>RAW_DATA!F25</f>
        <v>0</v>
      </c>
      <c r="G25">
        <f>RAW_DATA!G25</f>
        <v>0</v>
      </c>
      <c r="H25">
        <f>RAW_DATA!H25</f>
        <v>0</v>
      </c>
      <c r="I25">
        <f>RAW_DATA!I25</f>
        <v>0</v>
      </c>
      <c r="J25">
        <f>RAW_DATA!J25</f>
        <v>0</v>
      </c>
      <c r="K25">
        <f>RAW_DATA!K25</f>
        <v>0</v>
      </c>
      <c r="L25">
        <f>RAW_DATA!L25</f>
        <v>0</v>
      </c>
      <c r="M25">
        <f>H25*I25</f>
        <v>0</v>
      </c>
      <c r="N25">
        <f>ISOWEEKNUM(B25)</f>
        <v>0</v>
      </c>
      <c r="O25">
        <f>TEXT(B25,"mmm")</f>
        <v>0</v>
      </c>
      <c r="P25">
        <f>"Q"&amp;ROUNDUP(MONTH(B25)/3,0)</f>
        <v>0</v>
      </c>
      <c r="Q25">
        <f>IF(J25&gt;=4,"High",IF(J25&gt;=3,"Medium","Low"))</f>
        <v>0</v>
      </c>
      <c r="R25">
        <f>IF(K25&lt;=5,"On Time","Delayed")</f>
        <v>0</v>
      </c>
    </row>
    <row r="26" spans="1:18">
      <c r="A26">
        <f>RAW_DATA!A26</f>
        <v>0</v>
      </c>
      <c r="B26">
        <f>RAW_DATA!B26</f>
        <v>0</v>
      </c>
      <c r="C26">
        <f>RAW_DATA!C26</f>
        <v>0</v>
      </c>
      <c r="D26">
        <f>RAW_DATA!D26</f>
        <v>0</v>
      </c>
      <c r="E26">
        <f>RAW_DATA!E26</f>
        <v>0</v>
      </c>
      <c r="F26">
        <f>RAW_DATA!F26</f>
        <v>0</v>
      </c>
      <c r="G26">
        <f>RAW_DATA!G26</f>
        <v>0</v>
      </c>
      <c r="H26">
        <f>RAW_DATA!H26</f>
        <v>0</v>
      </c>
      <c r="I26">
        <f>RAW_DATA!I26</f>
        <v>0</v>
      </c>
      <c r="J26">
        <f>RAW_DATA!J26</f>
        <v>0</v>
      </c>
      <c r="K26">
        <f>RAW_DATA!K26</f>
        <v>0</v>
      </c>
      <c r="L26">
        <f>RAW_DATA!L26</f>
        <v>0</v>
      </c>
      <c r="M26">
        <f>H26*I26</f>
        <v>0</v>
      </c>
      <c r="N26">
        <f>ISOWEEKNUM(B26)</f>
        <v>0</v>
      </c>
      <c r="O26">
        <f>TEXT(B26,"mmm")</f>
        <v>0</v>
      </c>
      <c r="P26">
        <f>"Q"&amp;ROUNDUP(MONTH(B26)/3,0)</f>
        <v>0</v>
      </c>
      <c r="Q26">
        <f>IF(J26&gt;=4,"High",IF(J26&gt;=3,"Medium","Low"))</f>
        <v>0</v>
      </c>
      <c r="R26">
        <f>IF(K26&lt;=5,"On Time","Delayed")</f>
        <v>0</v>
      </c>
    </row>
    <row r="27" spans="1:18">
      <c r="A27">
        <f>RAW_DATA!A27</f>
        <v>0</v>
      </c>
      <c r="B27">
        <f>RAW_DATA!B27</f>
        <v>0</v>
      </c>
      <c r="C27">
        <f>RAW_DATA!C27</f>
        <v>0</v>
      </c>
      <c r="D27">
        <f>RAW_DATA!D27</f>
        <v>0</v>
      </c>
      <c r="E27">
        <f>RAW_DATA!E27</f>
        <v>0</v>
      </c>
      <c r="F27">
        <f>RAW_DATA!F27</f>
        <v>0</v>
      </c>
      <c r="G27">
        <f>RAW_DATA!G27</f>
        <v>0</v>
      </c>
      <c r="H27">
        <f>RAW_DATA!H27</f>
        <v>0</v>
      </c>
      <c r="I27">
        <f>RAW_DATA!I27</f>
        <v>0</v>
      </c>
      <c r="J27">
        <f>RAW_DATA!J27</f>
        <v>0</v>
      </c>
      <c r="K27">
        <f>RAW_DATA!K27</f>
        <v>0</v>
      </c>
      <c r="L27">
        <f>RAW_DATA!L27</f>
        <v>0</v>
      </c>
      <c r="M27">
        <f>H27*I27</f>
        <v>0</v>
      </c>
      <c r="N27">
        <f>ISOWEEKNUM(B27)</f>
        <v>0</v>
      </c>
      <c r="O27">
        <f>TEXT(B27,"mmm")</f>
        <v>0</v>
      </c>
      <c r="P27">
        <f>"Q"&amp;ROUNDUP(MONTH(B27)/3,0)</f>
        <v>0</v>
      </c>
      <c r="Q27">
        <f>IF(J27&gt;=4,"High",IF(J27&gt;=3,"Medium","Low"))</f>
        <v>0</v>
      </c>
      <c r="R27">
        <f>IF(K27&lt;=5,"On Time","Delayed")</f>
        <v>0</v>
      </c>
    </row>
    <row r="28" spans="1:18">
      <c r="A28">
        <f>RAW_DATA!A28</f>
        <v>0</v>
      </c>
      <c r="B28">
        <f>RAW_DATA!B28</f>
        <v>0</v>
      </c>
      <c r="C28">
        <f>RAW_DATA!C28</f>
        <v>0</v>
      </c>
      <c r="D28">
        <f>RAW_DATA!D28</f>
        <v>0</v>
      </c>
      <c r="E28">
        <f>RAW_DATA!E28</f>
        <v>0</v>
      </c>
      <c r="F28">
        <f>RAW_DATA!F28</f>
        <v>0</v>
      </c>
      <c r="G28">
        <f>RAW_DATA!G28</f>
        <v>0</v>
      </c>
      <c r="H28">
        <f>RAW_DATA!H28</f>
        <v>0</v>
      </c>
      <c r="I28">
        <f>RAW_DATA!I28</f>
        <v>0</v>
      </c>
      <c r="J28">
        <f>RAW_DATA!J28</f>
        <v>0</v>
      </c>
      <c r="K28">
        <f>RAW_DATA!K28</f>
        <v>0</v>
      </c>
      <c r="L28">
        <f>RAW_DATA!L28</f>
        <v>0</v>
      </c>
      <c r="M28">
        <f>H28*I28</f>
        <v>0</v>
      </c>
      <c r="N28">
        <f>ISOWEEKNUM(B28)</f>
        <v>0</v>
      </c>
      <c r="O28">
        <f>TEXT(B28,"mmm")</f>
        <v>0</v>
      </c>
      <c r="P28">
        <f>"Q"&amp;ROUNDUP(MONTH(B28)/3,0)</f>
        <v>0</v>
      </c>
      <c r="Q28">
        <f>IF(J28&gt;=4,"High",IF(J28&gt;=3,"Medium","Low"))</f>
        <v>0</v>
      </c>
      <c r="R28">
        <f>IF(K28&lt;=5,"On Time","Delayed")</f>
        <v>0</v>
      </c>
    </row>
    <row r="29" spans="1:18">
      <c r="A29">
        <f>RAW_DATA!A29</f>
        <v>0</v>
      </c>
      <c r="B29">
        <f>RAW_DATA!B29</f>
        <v>0</v>
      </c>
      <c r="C29">
        <f>RAW_DATA!C29</f>
        <v>0</v>
      </c>
      <c r="D29">
        <f>RAW_DATA!D29</f>
        <v>0</v>
      </c>
      <c r="E29">
        <f>RAW_DATA!E29</f>
        <v>0</v>
      </c>
      <c r="F29">
        <f>RAW_DATA!F29</f>
        <v>0</v>
      </c>
      <c r="G29">
        <f>RAW_DATA!G29</f>
        <v>0</v>
      </c>
      <c r="H29">
        <f>RAW_DATA!H29</f>
        <v>0</v>
      </c>
      <c r="I29">
        <f>RAW_DATA!I29</f>
        <v>0</v>
      </c>
      <c r="J29">
        <f>RAW_DATA!J29</f>
        <v>0</v>
      </c>
      <c r="K29">
        <f>RAW_DATA!K29</f>
        <v>0</v>
      </c>
      <c r="L29">
        <f>RAW_DATA!L29</f>
        <v>0</v>
      </c>
      <c r="M29">
        <f>H29*I29</f>
        <v>0</v>
      </c>
      <c r="N29">
        <f>ISOWEEKNUM(B29)</f>
        <v>0</v>
      </c>
      <c r="O29">
        <f>TEXT(B29,"mmm")</f>
        <v>0</v>
      </c>
      <c r="P29">
        <f>"Q"&amp;ROUNDUP(MONTH(B29)/3,0)</f>
        <v>0</v>
      </c>
      <c r="Q29">
        <f>IF(J29&gt;=4,"High",IF(J29&gt;=3,"Medium","Low"))</f>
        <v>0</v>
      </c>
      <c r="R29">
        <f>IF(K29&lt;=5,"On Time","Delayed")</f>
        <v>0</v>
      </c>
    </row>
    <row r="30" spans="1:18">
      <c r="A30">
        <f>RAW_DATA!A30</f>
        <v>0</v>
      </c>
      <c r="B30">
        <f>RAW_DATA!B30</f>
        <v>0</v>
      </c>
      <c r="C30">
        <f>RAW_DATA!C30</f>
        <v>0</v>
      </c>
      <c r="D30">
        <f>RAW_DATA!D30</f>
        <v>0</v>
      </c>
      <c r="E30">
        <f>RAW_DATA!E30</f>
        <v>0</v>
      </c>
      <c r="F30">
        <f>RAW_DATA!F30</f>
        <v>0</v>
      </c>
      <c r="G30">
        <f>RAW_DATA!G30</f>
        <v>0</v>
      </c>
      <c r="H30">
        <f>RAW_DATA!H30</f>
        <v>0</v>
      </c>
      <c r="I30">
        <f>RAW_DATA!I30</f>
        <v>0</v>
      </c>
      <c r="J30">
        <f>RAW_DATA!J30</f>
        <v>0</v>
      </c>
      <c r="K30">
        <f>RAW_DATA!K30</f>
        <v>0</v>
      </c>
      <c r="L30">
        <f>RAW_DATA!L30</f>
        <v>0</v>
      </c>
      <c r="M30">
        <f>H30*I30</f>
        <v>0</v>
      </c>
      <c r="N30">
        <f>ISOWEEKNUM(B30)</f>
        <v>0</v>
      </c>
      <c r="O30">
        <f>TEXT(B30,"mmm")</f>
        <v>0</v>
      </c>
      <c r="P30">
        <f>"Q"&amp;ROUNDUP(MONTH(B30)/3,0)</f>
        <v>0</v>
      </c>
      <c r="Q30">
        <f>IF(J30&gt;=4,"High",IF(J30&gt;=3,"Medium","Low"))</f>
        <v>0</v>
      </c>
      <c r="R30">
        <f>IF(K30&lt;=5,"On Time","Delayed")</f>
        <v>0</v>
      </c>
    </row>
    <row r="31" spans="1:18">
      <c r="A31">
        <f>RAW_DATA!A31</f>
        <v>0</v>
      </c>
      <c r="B31">
        <f>RAW_DATA!B31</f>
        <v>0</v>
      </c>
      <c r="C31">
        <f>RAW_DATA!C31</f>
        <v>0</v>
      </c>
      <c r="D31">
        <f>RAW_DATA!D31</f>
        <v>0</v>
      </c>
      <c r="E31">
        <f>RAW_DATA!E31</f>
        <v>0</v>
      </c>
      <c r="F31">
        <f>RAW_DATA!F31</f>
        <v>0</v>
      </c>
      <c r="G31">
        <f>RAW_DATA!G31</f>
        <v>0</v>
      </c>
      <c r="H31">
        <f>RAW_DATA!H31</f>
        <v>0</v>
      </c>
      <c r="I31">
        <f>RAW_DATA!I31</f>
        <v>0</v>
      </c>
      <c r="J31">
        <f>RAW_DATA!J31</f>
        <v>0</v>
      </c>
      <c r="K31">
        <f>RAW_DATA!K31</f>
        <v>0</v>
      </c>
      <c r="L31">
        <f>RAW_DATA!L31</f>
        <v>0</v>
      </c>
      <c r="M31">
        <f>H31*I31</f>
        <v>0</v>
      </c>
      <c r="N31">
        <f>ISOWEEKNUM(B31)</f>
        <v>0</v>
      </c>
      <c r="O31">
        <f>TEXT(B31,"mmm")</f>
        <v>0</v>
      </c>
      <c r="P31">
        <f>"Q"&amp;ROUNDUP(MONTH(B31)/3,0)</f>
        <v>0</v>
      </c>
      <c r="Q31">
        <f>IF(J31&gt;=4,"High",IF(J31&gt;=3,"Medium","Low"))</f>
        <v>0</v>
      </c>
      <c r="R31">
        <f>IF(K31&lt;=5,"On Time","Delayed")</f>
        <v>0</v>
      </c>
    </row>
    <row r="32" spans="1:18">
      <c r="A32">
        <f>RAW_DATA!A32</f>
        <v>0</v>
      </c>
      <c r="B32">
        <f>RAW_DATA!B32</f>
        <v>0</v>
      </c>
      <c r="C32">
        <f>RAW_DATA!C32</f>
        <v>0</v>
      </c>
      <c r="D32">
        <f>RAW_DATA!D32</f>
        <v>0</v>
      </c>
      <c r="E32">
        <f>RAW_DATA!E32</f>
        <v>0</v>
      </c>
      <c r="F32">
        <f>RAW_DATA!F32</f>
        <v>0</v>
      </c>
      <c r="G32">
        <f>RAW_DATA!G32</f>
        <v>0</v>
      </c>
      <c r="H32">
        <f>RAW_DATA!H32</f>
        <v>0</v>
      </c>
      <c r="I32">
        <f>RAW_DATA!I32</f>
        <v>0</v>
      </c>
      <c r="J32">
        <f>RAW_DATA!J32</f>
        <v>0</v>
      </c>
      <c r="K32">
        <f>RAW_DATA!K32</f>
        <v>0</v>
      </c>
      <c r="L32">
        <f>RAW_DATA!L32</f>
        <v>0</v>
      </c>
      <c r="M32">
        <f>H32*I32</f>
        <v>0</v>
      </c>
      <c r="N32">
        <f>ISOWEEKNUM(B32)</f>
        <v>0</v>
      </c>
      <c r="O32">
        <f>TEXT(B32,"mmm")</f>
        <v>0</v>
      </c>
      <c r="P32">
        <f>"Q"&amp;ROUNDUP(MONTH(B32)/3,0)</f>
        <v>0</v>
      </c>
      <c r="Q32">
        <f>IF(J32&gt;=4,"High",IF(J32&gt;=3,"Medium","Low"))</f>
        <v>0</v>
      </c>
      <c r="R32">
        <f>IF(K32&lt;=5,"On Time","Delayed")</f>
        <v>0</v>
      </c>
    </row>
    <row r="33" spans="1:18">
      <c r="A33">
        <f>RAW_DATA!A33</f>
        <v>0</v>
      </c>
      <c r="B33">
        <f>RAW_DATA!B33</f>
        <v>0</v>
      </c>
      <c r="C33">
        <f>RAW_DATA!C33</f>
        <v>0</v>
      </c>
      <c r="D33">
        <f>RAW_DATA!D33</f>
        <v>0</v>
      </c>
      <c r="E33">
        <f>RAW_DATA!E33</f>
        <v>0</v>
      </c>
      <c r="F33">
        <f>RAW_DATA!F33</f>
        <v>0</v>
      </c>
      <c r="G33">
        <f>RAW_DATA!G33</f>
        <v>0</v>
      </c>
      <c r="H33">
        <f>RAW_DATA!H33</f>
        <v>0</v>
      </c>
      <c r="I33">
        <f>RAW_DATA!I33</f>
        <v>0</v>
      </c>
      <c r="J33">
        <f>RAW_DATA!J33</f>
        <v>0</v>
      </c>
      <c r="K33">
        <f>RAW_DATA!K33</f>
        <v>0</v>
      </c>
      <c r="L33">
        <f>RAW_DATA!L33</f>
        <v>0</v>
      </c>
      <c r="M33">
        <f>H33*I33</f>
        <v>0</v>
      </c>
      <c r="N33">
        <f>ISOWEEKNUM(B33)</f>
        <v>0</v>
      </c>
      <c r="O33">
        <f>TEXT(B33,"mmm")</f>
        <v>0</v>
      </c>
      <c r="P33">
        <f>"Q"&amp;ROUNDUP(MONTH(B33)/3,0)</f>
        <v>0</v>
      </c>
      <c r="Q33">
        <f>IF(J33&gt;=4,"High",IF(J33&gt;=3,"Medium","Low"))</f>
        <v>0</v>
      </c>
      <c r="R33">
        <f>IF(K33&lt;=5,"On Time","Delayed")</f>
        <v>0</v>
      </c>
    </row>
    <row r="34" spans="1:18">
      <c r="A34">
        <f>RAW_DATA!A34</f>
        <v>0</v>
      </c>
      <c r="B34">
        <f>RAW_DATA!B34</f>
        <v>0</v>
      </c>
      <c r="C34">
        <f>RAW_DATA!C34</f>
        <v>0</v>
      </c>
      <c r="D34">
        <f>RAW_DATA!D34</f>
        <v>0</v>
      </c>
      <c r="E34">
        <f>RAW_DATA!E34</f>
        <v>0</v>
      </c>
      <c r="F34">
        <f>RAW_DATA!F34</f>
        <v>0</v>
      </c>
      <c r="G34">
        <f>RAW_DATA!G34</f>
        <v>0</v>
      </c>
      <c r="H34">
        <f>RAW_DATA!H34</f>
        <v>0</v>
      </c>
      <c r="I34">
        <f>RAW_DATA!I34</f>
        <v>0</v>
      </c>
      <c r="J34">
        <f>RAW_DATA!J34</f>
        <v>0</v>
      </c>
      <c r="K34">
        <f>RAW_DATA!K34</f>
        <v>0</v>
      </c>
      <c r="L34">
        <f>RAW_DATA!L34</f>
        <v>0</v>
      </c>
      <c r="M34">
        <f>H34*I34</f>
        <v>0</v>
      </c>
      <c r="N34">
        <f>ISOWEEKNUM(B34)</f>
        <v>0</v>
      </c>
      <c r="O34">
        <f>TEXT(B34,"mmm")</f>
        <v>0</v>
      </c>
      <c r="P34">
        <f>"Q"&amp;ROUNDUP(MONTH(B34)/3,0)</f>
        <v>0</v>
      </c>
      <c r="Q34">
        <f>IF(J34&gt;=4,"High",IF(J34&gt;=3,"Medium","Low"))</f>
        <v>0</v>
      </c>
      <c r="R34">
        <f>IF(K34&lt;=5,"On Time","Delayed")</f>
        <v>0</v>
      </c>
    </row>
    <row r="35" spans="1:18">
      <c r="A35">
        <f>RAW_DATA!A35</f>
        <v>0</v>
      </c>
      <c r="B35">
        <f>RAW_DATA!B35</f>
        <v>0</v>
      </c>
      <c r="C35">
        <f>RAW_DATA!C35</f>
        <v>0</v>
      </c>
      <c r="D35">
        <f>RAW_DATA!D35</f>
        <v>0</v>
      </c>
      <c r="E35">
        <f>RAW_DATA!E35</f>
        <v>0</v>
      </c>
      <c r="F35">
        <f>RAW_DATA!F35</f>
        <v>0</v>
      </c>
      <c r="G35">
        <f>RAW_DATA!G35</f>
        <v>0</v>
      </c>
      <c r="H35">
        <f>RAW_DATA!H35</f>
        <v>0</v>
      </c>
      <c r="I35">
        <f>RAW_DATA!I35</f>
        <v>0</v>
      </c>
      <c r="J35">
        <f>RAW_DATA!J35</f>
        <v>0</v>
      </c>
      <c r="K35">
        <f>RAW_DATA!K35</f>
        <v>0</v>
      </c>
      <c r="L35">
        <f>RAW_DATA!L35</f>
        <v>0</v>
      </c>
      <c r="M35">
        <f>H35*I35</f>
        <v>0</v>
      </c>
      <c r="N35">
        <f>ISOWEEKNUM(B35)</f>
        <v>0</v>
      </c>
      <c r="O35">
        <f>TEXT(B35,"mmm")</f>
        <v>0</v>
      </c>
      <c r="P35">
        <f>"Q"&amp;ROUNDUP(MONTH(B35)/3,0)</f>
        <v>0</v>
      </c>
      <c r="Q35">
        <f>IF(J35&gt;=4,"High",IF(J35&gt;=3,"Medium","Low"))</f>
        <v>0</v>
      </c>
      <c r="R35">
        <f>IF(K35&lt;=5,"On Time","Delayed")</f>
        <v>0</v>
      </c>
    </row>
    <row r="36" spans="1:18">
      <c r="A36">
        <f>RAW_DATA!A36</f>
        <v>0</v>
      </c>
      <c r="B36">
        <f>RAW_DATA!B36</f>
        <v>0</v>
      </c>
      <c r="C36">
        <f>RAW_DATA!C36</f>
        <v>0</v>
      </c>
      <c r="D36">
        <f>RAW_DATA!D36</f>
        <v>0</v>
      </c>
      <c r="E36">
        <f>RAW_DATA!E36</f>
        <v>0</v>
      </c>
      <c r="F36">
        <f>RAW_DATA!F36</f>
        <v>0</v>
      </c>
      <c r="G36">
        <f>RAW_DATA!G36</f>
        <v>0</v>
      </c>
      <c r="H36">
        <f>RAW_DATA!H36</f>
        <v>0</v>
      </c>
      <c r="I36">
        <f>RAW_DATA!I36</f>
        <v>0</v>
      </c>
      <c r="J36">
        <f>RAW_DATA!J36</f>
        <v>0</v>
      </c>
      <c r="K36">
        <f>RAW_DATA!K36</f>
        <v>0</v>
      </c>
      <c r="L36">
        <f>RAW_DATA!L36</f>
        <v>0</v>
      </c>
      <c r="M36">
        <f>H36*I36</f>
        <v>0</v>
      </c>
      <c r="N36">
        <f>ISOWEEKNUM(B36)</f>
        <v>0</v>
      </c>
      <c r="O36">
        <f>TEXT(B36,"mmm")</f>
        <v>0</v>
      </c>
      <c r="P36">
        <f>"Q"&amp;ROUNDUP(MONTH(B36)/3,0)</f>
        <v>0</v>
      </c>
      <c r="Q36">
        <f>IF(J36&gt;=4,"High",IF(J36&gt;=3,"Medium","Low"))</f>
        <v>0</v>
      </c>
      <c r="R36">
        <f>IF(K36&lt;=5,"On Time","Delayed")</f>
        <v>0</v>
      </c>
    </row>
    <row r="37" spans="1:18">
      <c r="A37">
        <f>RAW_DATA!A37</f>
        <v>0</v>
      </c>
      <c r="B37">
        <f>RAW_DATA!B37</f>
        <v>0</v>
      </c>
      <c r="C37">
        <f>RAW_DATA!C37</f>
        <v>0</v>
      </c>
      <c r="D37">
        <f>RAW_DATA!D37</f>
        <v>0</v>
      </c>
      <c r="E37">
        <f>RAW_DATA!E37</f>
        <v>0</v>
      </c>
      <c r="F37">
        <f>RAW_DATA!F37</f>
        <v>0</v>
      </c>
      <c r="G37">
        <f>RAW_DATA!G37</f>
        <v>0</v>
      </c>
      <c r="H37">
        <f>RAW_DATA!H37</f>
        <v>0</v>
      </c>
      <c r="I37">
        <f>RAW_DATA!I37</f>
        <v>0</v>
      </c>
      <c r="J37">
        <f>RAW_DATA!J37</f>
        <v>0</v>
      </c>
      <c r="K37">
        <f>RAW_DATA!K37</f>
        <v>0</v>
      </c>
      <c r="L37">
        <f>RAW_DATA!L37</f>
        <v>0</v>
      </c>
      <c r="M37">
        <f>H37*I37</f>
        <v>0</v>
      </c>
      <c r="N37">
        <f>ISOWEEKNUM(B37)</f>
        <v>0</v>
      </c>
      <c r="O37">
        <f>TEXT(B37,"mmm")</f>
        <v>0</v>
      </c>
      <c r="P37">
        <f>"Q"&amp;ROUNDUP(MONTH(B37)/3,0)</f>
        <v>0</v>
      </c>
      <c r="Q37">
        <f>IF(J37&gt;=4,"High",IF(J37&gt;=3,"Medium","Low"))</f>
        <v>0</v>
      </c>
      <c r="R37">
        <f>IF(K37&lt;=5,"On Time","Delayed")</f>
        <v>0</v>
      </c>
    </row>
    <row r="38" spans="1:18">
      <c r="A38">
        <f>RAW_DATA!A38</f>
        <v>0</v>
      </c>
      <c r="B38">
        <f>RAW_DATA!B38</f>
        <v>0</v>
      </c>
      <c r="C38">
        <f>RAW_DATA!C38</f>
        <v>0</v>
      </c>
      <c r="D38">
        <f>RAW_DATA!D38</f>
        <v>0</v>
      </c>
      <c r="E38">
        <f>RAW_DATA!E38</f>
        <v>0</v>
      </c>
      <c r="F38">
        <f>RAW_DATA!F38</f>
        <v>0</v>
      </c>
      <c r="G38">
        <f>RAW_DATA!G38</f>
        <v>0</v>
      </c>
      <c r="H38">
        <f>RAW_DATA!H38</f>
        <v>0</v>
      </c>
      <c r="I38">
        <f>RAW_DATA!I38</f>
        <v>0</v>
      </c>
      <c r="J38">
        <f>RAW_DATA!J38</f>
        <v>0</v>
      </c>
      <c r="K38">
        <f>RAW_DATA!K38</f>
        <v>0</v>
      </c>
      <c r="L38">
        <f>RAW_DATA!L38</f>
        <v>0</v>
      </c>
      <c r="M38">
        <f>H38*I38</f>
        <v>0</v>
      </c>
      <c r="N38">
        <f>ISOWEEKNUM(B38)</f>
        <v>0</v>
      </c>
      <c r="O38">
        <f>TEXT(B38,"mmm")</f>
        <v>0</v>
      </c>
      <c r="P38">
        <f>"Q"&amp;ROUNDUP(MONTH(B38)/3,0)</f>
        <v>0</v>
      </c>
      <c r="Q38">
        <f>IF(J38&gt;=4,"High",IF(J38&gt;=3,"Medium","Low"))</f>
        <v>0</v>
      </c>
      <c r="R38">
        <f>IF(K38&lt;=5,"On Time","Delayed")</f>
        <v>0</v>
      </c>
    </row>
    <row r="39" spans="1:18">
      <c r="A39">
        <f>RAW_DATA!A39</f>
        <v>0</v>
      </c>
      <c r="B39">
        <f>RAW_DATA!B39</f>
        <v>0</v>
      </c>
      <c r="C39">
        <f>RAW_DATA!C39</f>
        <v>0</v>
      </c>
      <c r="D39">
        <f>RAW_DATA!D39</f>
        <v>0</v>
      </c>
      <c r="E39">
        <f>RAW_DATA!E39</f>
        <v>0</v>
      </c>
      <c r="F39">
        <f>RAW_DATA!F39</f>
        <v>0</v>
      </c>
      <c r="G39">
        <f>RAW_DATA!G39</f>
        <v>0</v>
      </c>
      <c r="H39">
        <f>RAW_DATA!H39</f>
        <v>0</v>
      </c>
      <c r="I39">
        <f>RAW_DATA!I39</f>
        <v>0</v>
      </c>
      <c r="J39">
        <f>RAW_DATA!J39</f>
        <v>0</v>
      </c>
      <c r="K39">
        <f>RAW_DATA!K39</f>
        <v>0</v>
      </c>
      <c r="L39">
        <f>RAW_DATA!L39</f>
        <v>0</v>
      </c>
      <c r="M39">
        <f>H39*I39</f>
        <v>0</v>
      </c>
      <c r="N39">
        <f>ISOWEEKNUM(B39)</f>
        <v>0</v>
      </c>
      <c r="O39">
        <f>TEXT(B39,"mmm")</f>
        <v>0</v>
      </c>
      <c r="P39">
        <f>"Q"&amp;ROUNDUP(MONTH(B39)/3,0)</f>
        <v>0</v>
      </c>
      <c r="Q39">
        <f>IF(J39&gt;=4,"High",IF(J39&gt;=3,"Medium","Low"))</f>
        <v>0</v>
      </c>
      <c r="R39">
        <f>IF(K39&lt;=5,"On Time","Delayed")</f>
        <v>0</v>
      </c>
    </row>
    <row r="40" spans="1:18">
      <c r="A40">
        <f>RAW_DATA!A40</f>
        <v>0</v>
      </c>
      <c r="B40">
        <f>RAW_DATA!B40</f>
        <v>0</v>
      </c>
      <c r="C40">
        <f>RAW_DATA!C40</f>
        <v>0</v>
      </c>
      <c r="D40">
        <f>RAW_DATA!D40</f>
        <v>0</v>
      </c>
      <c r="E40">
        <f>RAW_DATA!E40</f>
        <v>0</v>
      </c>
      <c r="F40">
        <f>RAW_DATA!F40</f>
        <v>0</v>
      </c>
      <c r="G40">
        <f>RAW_DATA!G40</f>
        <v>0</v>
      </c>
      <c r="H40">
        <f>RAW_DATA!H40</f>
        <v>0</v>
      </c>
      <c r="I40">
        <f>RAW_DATA!I40</f>
        <v>0</v>
      </c>
      <c r="J40">
        <f>RAW_DATA!J40</f>
        <v>0</v>
      </c>
      <c r="K40">
        <f>RAW_DATA!K40</f>
        <v>0</v>
      </c>
      <c r="L40">
        <f>RAW_DATA!L40</f>
        <v>0</v>
      </c>
      <c r="M40">
        <f>H40*I40</f>
        <v>0</v>
      </c>
      <c r="N40">
        <f>ISOWEEKNUM(B40)</f>
        <v>0</v>
      </c>
      <c r="O40">
        <f>TEXT(B40,"mmm")</f>
        <v>0</v>
      </c>
      <c r="P40">
        <f>"Q"&amp;ROUNDUP(MONTH(B40)/3,0)</f>
        <v>0</v>
      </c>
      <c r="Q40">
        <f>IF(J40&gt;=4,"High",IF(J40&gt;=3,"Medium","Low"))</f>
        <v>0</v>
      </c>
      <c r="R40">
        <f>IF(K40&lt;=5,"On Time","Delayed")</f>
        <v>0</v>
      </c>
    </row>
    <row r="41" spans="1:18">
      <c r="A41">
        <f>RAW_DATA!A41</f>
        <v>0</v>
      </c>
      <c r="B41">
        <f>RAW_DATA!B41</f>
        <v>0</v>
      </c>
      <c r="C41">
        <f>RAW_DATA!C41</f>
        <v>0</v>
      </c>
      <c r="D41">
        <f>RAW_DATA!D41</f>
        <v>0</v>
      </c>
      <c r="E41">
        <f>RAW_DATA!E41</f>
        <v>0</v>
      </c>
      <c r="F41">
        <f>RAW_DATA!F41</f>
        <v>0</v>
      </c>
      <c r="G41">
        <f>RAW_DATA!G41</f>
        <v>0</v>
      </c>
      <c r="H41">
        <f>RAW_DATA!H41</f>
        <v>0</v>
      </c>
      <c r="I41">
        <f>RAW_DATA!I41</f>
        <v>0</v>
      </c>
      <c r="J41">
        <f>RAW_DATA!J41</f>
        <v>0</v>
      </c>
      <c r="K41">
        <f>RAW_DATA!K41</f>
        <v>0</v>
      </c>
      <c r="L41">
        <f>RAW_DATA!L41</f>
        <v>0</v>
      </c>
      <c r="M41">
        <f>H41*I41</f>
        <v>0</v>
      </c>
      <c r="N41">
        <f>ISOWEEKNUM(B41)</f>
        <v>0</v>
      </c>
      <c r="O41">
        <f>TEXT(B41,"mmm")</f>
        <v>0</v>
      </c>
      <c r="P41">
        <f>"Q"&amp;ROUNDUP(MONTH(B41)/3,0)</f>
        <v>0</v>
      </c>
      <c r="Q41">
        <f>IF(J41&gt;=4,"High",IF(J41&gt;=3,"Medium","Low"))</f>
        <v>0</v>
      </c>
      <c r="R41">
        <f>IF(K41&lt;=5,"On Time","Delayed")</f>
        <v>0</v>
      </c>
    </row>
    <row r="42" spans="1:18">
      <c r="A42">
        <f>RAW_DATA!A42</f>
        <v>0</v>
      </c>
      <c r="B42">
        <f>RAW_DATA!B42</f>
        <v>0</v>
      </c>
      <c r="C42">
        <f>RAW_DATA!C42</f>
        <v>0</v>
      </c>
      <c r="D42">
        <f>RAW_DATA!D42</f>
        <v>0</v>
      </c>
      <c r="E42">
        <f>RAW_DATA!E42</f>
        <v>0</v>
      </c>
      <c r="F42">
        <f>RAW_DATA!F42</f>
        <v>0</v>
      </c>
      <c r="G42">
        <f>RAW_DATA!G42</f>
        <v>0</v>
      </c>
      <c r="H42">
        <f>RAW_DATA!H42</f>
        <v>0</v>
      </c>
      <c r="I42">
        <f>RAW_DATA!I42</f>
        <v>0</v>
      </c>
      <c r="J42">
        <f>RAW_DATA!J42</f>
        <v>0</v>
      </c>
      <c r="K42">
        <f>RAW_DATA!K42</f>
        <v>0</v>
      </c>
      <c r="L42">
        <f>RAW_DATA!L42</f>
        <v>0</v>
      </c>
      <c r="M42">
        <f>H42*I42</f>
        <v>0</v>
      </c>
      <c r="N42">
        <f>ISOWEEKNUM(B42)</f>
        <v>0</v>
      </c>
      <c r="O42">
        <f>TEXT(B42,"mmm")</f>
        <v>0</v>
      </c>
      <c r="P42">
        <f>"Q"&amp;ROUNDUP(MONTH(B42)/3,0)</f>
        <v>0</v>
      </c>
      <c r="Q42">
        <f>IF(J42&gt;=4,"High",IF(J42&gt;=3,"Medium","Low"))</f>
        <v>0</v>
      </c>
      <c r="R42">
        <f>IF(K42&lt;=5,"On Time","Delayed")</f>
        <v>0</v>
      </c>
    </row>
    <row r="43" spans="1:18">
      <c r="A43">
        <f>RAW_DATA!A43</f>
        <v>0</v>
      </c>
      <c r="B43">
        <f>RAW_DATA!B43</f>
        <v>0</v>
      </c>
      <c r="C43">
        <f>RAW_DATA!C43</f>
        <v>0</v>
      </c>
      <c r="D43">
        <f>RAW_DATA!D43</f>
        <v>0</v>
      </c>
      <c r="E43">
        <f>RAW_DATA!E43</f>
        <v>0</v>
      </c>
      <c r="F43">
        <f>RAW_DATA!F43</f>
        <v>0</v>
      </c>
      <c r="G43">
        <f>RAW_DATA!G43</f>
        <v>0</v>
      </c>
      <c r="H43">
        <f>RAW_DATA!H43</f>
        <v>0</v>
      </c>
      <c r="I43">
        <f>RAW_DATA!I43</f>
        <v>0</v>
      </c>
      <c r="J43">
        <f>RAW_DATA!J43</f>
        <v>0</v>
      </c>
      <c r="K43">
        <f>RAW_DATA!K43</f>
        <v>0</v>
      </c>
      <c r="L43">
        <f>RAW_DATA!L43</f>
        <v>0</v>
      </c>
      <c r="M43">
        <f>H43*I43</f>
        <v>0</v>
      </c>
      <c r="N43">
        <f>ISOWEEKNUM(B43)</f>
        <v>0</v>
      </c>
      <c r="O43">
        <f>TEXT(B43,"mmm")</f>
        <v>0</v>
      </c>
      <c r="P43">
        <f>"Q"&amp;ROUNDUP(MONTH(B43)/3,0)</f>
        <v>0</v>
      </c>
      <c r="Q43">
        <f>IF(J43&gt;=4,"High",IF(J43&gt;=3,"Medium","Low"))</f>
        <v>0</v>
      </c>
      <c r="R43">
        <f>IF(K43&lt;=5,"On Time","Delayed")</f>
        <v>0</v>
      </c>
    </row>
    <row r="44" spans="1:18">
      <c r="A44">
        <f>RAW_DATA!A44</f>
        <v>0</v>
      </c>
      <c r="B44">
        <f>RAW_DATA!B44</f>
        <v>0</v>
      </c>
      <c r="C44">
        <f>RAW_DATA!C44</f>
        <v>0</v>
      </c>
      <c r="D44">
        <f>RAW_DATA!D44</f>
        <v>0</v>
      </c>
      <c r="E44">
        <f>RAW_DATA!E44</f>
        <v>0</v>
      </c>
      <c r="F44">
        <f>RAW_DATA!F44</f>
        <v>0</v>
      </c>
      <c r="G44">
        <f>RAW_DATA!G44</f>
        <v>0</v>
      </c>
      <c r="H44">
        <f>RAW_DATA!H44</f>
        <v>0</v>
      </c>
      <c r="I44">
        <f>RAW_DATA!I44</f>
        <v>0</v>
      </c>
      <c r="J44">
        <f>RAW_DATA!J44</f>
        <v>0</v>
      </c>
      <c r="K44">
        <f>RAW_DATA!K44</f>
        <v>0</v>
      </c>
      <c r="L44">
        <f>RAW_DATA!L44</f>
        <v>0</v>
      </c>
      <c r="M44">
        <f>H44*I44</f>
        <v>0</v>
      </c>
      <c r="N44">
        <f>ISOWEEKNUM(B44)</f>
        <v>0</v>
      </c>
      <c r="O44">
        <f>TEXT(B44,"mmm")</f>
        <v>0</v>
      </c>
      <c r="P44">
        <f>"Q"&amp;ROUNDUP(MONTH(B44)/3,0)</f>
        <v>0</v>
      </c>
      <c r="Q44">
        <f>IF(J44&gt;=4,"High",IF(J44&gt;=3,"Medium","Low"))</f>
        <v>0</v>
      </c>
      <c r="R44">
        <f>IF(K44&lt;=5,"On Time","Delayed")</f>
        <v>0</v>
      </c>
    </row>
    <row r="45" spans="1:18">
      <c r="A45">
        <f>RAW_DATA!A45</f>
        <v>0</v>
      </c>
      <c r="B45">
        <f>RAW_DATA!B45</f>
        <v>0</v>
      </c>
      <c r="C45">
        <f>RAW_DATA!C45</f>
        <v>0</v>
      </c>
      <c r="D45">
        <f>RAW_DATA!D45</f>
        <v>0</v>
      </c>
      <c r="E45">
        <f>RAW_DATA!E45</f>
        <v>0</v>
      </c>
      <c r="F45">
        <f>RAW_DATA!F45</f>
        <v>0</v>
      </c>
      <c r="G45">
        <f>RAW_DATA!G45</f>
        <v>0</v>
      </c>
      <c r="H45">
        <f>RAW_DATA!H45</f>
        <v>0</v>
      </c>
      <c r="I45">
        <f>RAW_DATA!I45</f>
        <v>0</v>
      </c>
      <c r="J45">
        <f>RAW_DATA!J45</f>
        <v>0</v>
      </c>
      <c r="K45">
        <f>RAW_DATA!K45</f>
        <v>0</v>
      </c>
      <c r="L45">
        <f>RAW_DATA!L45</f>
        <v>0</v>
      </c>
      <c r="M45">
        <f>H45*I45</f>
        <v>0</v>
      </c>
      <c r="N45">
        <f>ISOWEEKNUM(B45)</f>
        <v>0</v>
      </c>
      <c r="O45">
        <f>TEXT(B45,"mmm")</f>
        <v>0</v>
      </c>
      <c r="P45">
        <f>"Q"&amp;ROUNDUP(MONTH(B45)/3,0)</f>
        <v>0</v>
      </c>
      <c r="Q45">
        <f>IF(J45&gt;=4,"High",IF(J45&gt;=3,"Medium","Low"))</f>
        <v>0</v>
      </c>
      <c r="R45">
        <f>IF(K45&lt;=5,"On Time","Delayed")</f>
        <v>0</v>
      </c>
    </row>
    <row r="46" spans="1:18">
      <c r="A46">
        <f>RAW_DATA!A46</f>
        <v>0</v>
      </c>
      <c r="B46">
        <f>RAW_DATA!B46</f>
        <v>0</v>
      </c>
      <c r="C46">
        <f>RAW_DATA!C46</f>
        <v>0</v>
      </c>
      <c r="D46">
        <f>RAW_DATA!D46</f>
        <v>0</v>
      </c>
      <c r="E46">
        <f>RAW_DATA!E46</f>
        <v>0</v>
      </c>
      <c r="F46">
        <f>RAW_DATA!F46</f>
        <v>0</v>
      </c>
      <c r="G46">
        <f>RAW_DATA!G46</f>
        <v>0</v>
      </c>
      <c r="H46">
        <f>RAW_DATA!H46</f>
        <v>0</v>
      </c>
      <c r="I46">
        <f>RAW_DATA!I46</f>
        <v>0</v>
      </c>
      <c r="J46">
        <f>RAW_DATA!J46</f>
        <v>0</v>
      </c>
      <c r="K46">
        <f>RAW_DATA!K46</f>
        <v>0</v>
      </c>
      <c r="L46">
        <f>RAW_DATA!L46</f>
        <v>0</v>
      </c>
      <c r="M46">
        <f>H46*I46</f>
        <v>0</v>
      </c>
      <c r="N46">
        <f>ISOWEEKNUM(B46)</f>
        <v>0</v>
      </c>
      <c r="O46">
        <f>TEXT(B46,"mmm")</f>
        <v>0</v>
      </c>
      <c r="P46">
        <f>"Q"&amp;ROUNDUP(MONTH(B46)/3,0)</f>
        <v>0</v>
      </c>
      <c r="Q46">
        <f>IF(J46&gt;=4,"High",IF(J46&gt;=3,"Medium","Low"))</f>
        <v>0</v>
      </c>
      <c r="R46">
        <f>IF(K46&lt;=5,"On Time","Delayed")</f>
        <v>0</v>
      </c>
    </row>
    <row r="47" spans="1:18">
      <c r="A47">
        <f>RAW_DATA!A47</f>
        <v>0</v>
      </c>
      <c r="B47">
        <f>RAW_DATA!B47</f>
        <v>0</v>
      </c>
      <c r="C47">
        <f>RAW_DATA!C47</f>
        <v>0</v>
      </c>
      <c r="D47">
        <f>RAW_DATA!D47</f>
        <v>0</v>
      </c>
      <c r="E47">
        <f>RAW_DATA!E47</f>
        <v>0</v>
      </c>
      <c r="F47">
        <f>RAW_DATA!F47</f>
        <v>0</v>
      </c>
      <c r="G47">
        <f>RAW_DATA!G47</f>
        <v>0</v>
      </c>
      <c r="H47">
        <f>RAW_DATA!H47</f>
        <v>0</v>
      </c>
      <c r="I47">
        <f>RAW_DATA!I47</f>
        <v>0</v>
      </c>
      <c r="J47">
        <f>RAW_DATA!J47</f>
        <v>0</v>
      </c>
      <c r="K47">
        <f>RAW_DATA!K47</f>
        <v>0</v>
      </c>
      <c r="L47">
        <f>RAW_DATA!L47</f>
        <v>0</v>
      </c>
      <c r="M47">
        <f>H47*I47</f>
        <v>0</v>
      </c>
      <c r="N47">
        <f>ISOWEEKNUM(B47)</f>
        <v>0</v>
      </c>
      <c r="O47">
        <f>TEXT(B47,"mmm")</f>
        <v>0</v>
      </c>
      <c r="P47">
        <f>"Q"&amp;ROUNDUP(MONTH(B47)/3,0)</f>
        <v>0</v>
      </c>
      <c r="Q47">
        <f>IF(J47&gt;=4,"High",IF(J47&gt;=3,"Medium","Low"))</f>
        <v>0</v>
      </c>
      <c r="R47">
        <f>IF(K47&lt;=5,"On Time","Delayed")</f>
        <v>0</v>
      </c>
    </row>
    <row r="48" spans="1:18">
      <c r="A48">
        <f>RAW_DATA!A48</f>
        <v>0</v>
      </c>
      <c r="B48">
        <f>RAW_DATA!B48</f>
        <v>0</v>
      </c>
      <c r="C48">
        <f>RAW_DATA!C48</f>
        <v>0</v>
      </c>
      <c r="D48">
        <f>RAW_DATA!D48</f>
        <v>0</v>
      </c>
      <c r="E48">
        <f>RAW_DATA!E48</f>
        <v>0</v>
      </c>
      <c r="F48">
        <f>RAW_DATA!F48</f>
        <v>0</v>
      </c>
      <c r="G48">
        <f>RAW_DATA!G48</f>
        <v>0</v>
      </c>
      <c r="H48">
        <f>RAW_DATA!H48</f>
        <v>0</v>
      </c>
      <c r="I48">
        <f>RAW_DATA!I48</f>
        <v>0</v>
      </c>
      <c r="J48">
        <f>RAW_DATA!J48</f>
        <v>0</v>
      </c>
      <c r="K48">
        <f>RAW_DATA!K48</f>
        <v>0</v>
      </c>
      <c r="L48">
        <f>RAW_DATA!L48</f>
        <v>0</v>
      </c>
      <c r="M48">
        <f>H48*I48</f>
        <v>0</v>
      </c>
      <c r="N48">
        <f>ISOWEEKNUM(B48)</f>
        <v>0</v>
      </c>
      <c r="O48">
        <f>TEXT(B48,"mmm")</f>
        <v>0</v>
      </c>
      <c r="P48">
        <f>"Q"&amp;ROUNDUP(MONTH(B48)/3,0)</f>
        <v>0</v>
      </c>
      <c r="Q48">
        <f>IF(J48&gt;=4,"High",IF(J48&gt;=3,"Medium","Low"))</f>
        <v>0</v>
      </c>
      <c r="R48">
        <f>IF(K48&lt;=5,"On Time","Delayed")</f>
        <v>0</v>
      </c>
    </row>
    <row r="49" spans="1:18">
      <c r="A49">
        <f>RAW_DATA!A49</f>
        <v>0</v>
      </c>
      <c r="B49">
        <f>RAW_DATA!B49</f>
        <v>0</v>
      </c>
      <c r="C49">
        <f>RAW_DATA!C49</f>
        <v>0</v>
      </c>
      <c r="D49">
        <f>RAW_DATA!D49</f>
        <v>0</v>
      </c>
      <c r="E49">
        <f>RAW_DATA!E49</f>
        <v>0</v>
      </c>
      <c r="F49">
        <f>RAW_DATA!F49</f>
        <v>0</v>
      </c>
      <c r="G49">
        <f>RAW_DATA!G49</f>
        <v>0</v>
      </c>
      <c r="H49">
        <f>RAW_DATA!H49</f>
        <v>0</v>
      </c>
      <c r="I49">
        <f>RAW_DATA!I49</f>
        <v>0</v>
      </c>
      <c r="J49">
        <f>RAW_DATA!J49</f>
        <v>0</v>
      </c>
      <c r="K49">
        <f>RAW_DATA!K49</f>
        <v>0</v>
      </c>
      <c r="L49">
        <f>RAW_DATA!L49</f>
        <v>0</v>
      </c>
      <c r="M49">
        <f>H49*I49</f>
        <v>0</v>
      </c>
      <c r="N49">
        <f>ISOWEEKNUM(B49)</f>
        <v>0</v>
      </c>
      <c r="O49">
        <f>TEXT(B49,"mmm")</f>
        <v>0</v>
      </c>
      <c r="P49">
        <f>"Q"&amp;ROUNDUP(MONTH(B49)/3,0)</f>
        <v>0</v>
      </c>
      <c r="Q49">
        <f>IF(J49&gt;=4,"High",IF(J49&gt;=3,"Medium","Low"))</f>
        <v>0</v>
      </c>
      <c r="R49">
        <f>IF(K49&lt;=5,"On Time","Delayed")</f>
        <v>0</v>
      </c>
    </row>
    <row r="50" spans="1:18">
      <c r="A50">
        <f>RAW_DATA!A50</f>
        <v>0</v>
      </c>
      <c r="B50">
        <f>RAW_DATA!B50</f>
        <v>0</v>
      </c>
      <c r="C50">
        <f>RAW_DATA!C50</f>
        <v>0</v>
      </c>
      <c r="D50">
        <f>RAW_DATA!D50</f>
        <v>0</v>
      </c>
      <c r="E50">
        <f>RAW_DATA!E50</f>
        <v>0</v>
      </c>
      <c r="F50">
        <f>RAW_DATA!F50</f>
        <v>0</v>
      </c>
      <c r="G50">
        <f>RAW_DATA!G50</f>
        <v>0</v>
      </c>
      <c r="H50">
        <f>RAW_DATA!H50</f>
        <v>0</v>
      </c>
      <c r="I50">
        <f>RAW_DATA!I50</f>
        <v>0</v>
      </c>
      <c r="J50">
        <f>RAW_DATA!J50</f>
        <v>0</v>
      </c>
      <c r="K50">
        <f>RAW_DATA!K50</f>
        <v>0</v>
      </c>
      <c r="L50">
        <f>RAW_DATA!L50</f>
        <v>0</v>
      </c>
      <c r="M50">
        <f>H50*I50</f>
        <v>0</v>
      </c>
      <c r="N50">
        <f>ISOWEEKNUM(B50)</f>
        <v>0</v>
      </c>
      <c r="O50">
        <f>TEXT(B50,"mmm")</f>
        <v>0</v>
      </c>
      <c r="P50">
        <f>"Q"&amp;ROUNDUP(MONTH(B50)/3,0)</f>
        <v>0</v>
      </c>
      <c r="Q50">
        <f>IF(J50&gt;=4,"High",IF(J50&gt;=3,"Medium","Low"))</f>
        <v>0</v>
      </c>
      <c r="R50">
        <f>IF(K50&lt;=5,"On Time","Delayed")</f>
        <v>0</v>
      </c>
    </row>
    <row r="51" spans="1:18">
      <c r="A51">
        <f>RAW_DATA!A51</f>
        <v>0</v>
      </c>
      <c r="B51">
        <f>RAW_DATA!B51</f>
        <v>0</v>
      </c>
      <c r="C51">
        <f>RAW_DATA!C51</f>
        <v>0</v>
      </c>
      <c r="D51">
        <f>RAW_DATA!D51</f>
        <v>0</v>
      </c>
      <c r="E51">
        <f>RAW_DATA!E51</f>
        <v>0</v>
      </c>
      <c r="F51">
        <f>RAW_DATA!F51</f>
        <v>0</v>
      </c>
      <c r="G51">
        <f>RAW_DATA!G51</f>
        <v>0</v>
      </c>
      <c r="H51">
        <f>RAW_DATA!H51</f>
        <v>0</v>
      </c>
      <c r="I51">
        <f>RAW_DATA!I51</f>
        <v>0</v>
      </c>
      <c r="J51">
        <f>RAW_DATA!J51</f>
        <v>0</v>
      </c>
      <c r="K51">
        <f>RAW_DATA!K51</f>
        <v>0</v>
      </c>
      <c r="L51">
        <f>RAW_DATA!L51</f>
        <v>0</v>
      </c>
      <c r="M51">
        <f>H51*I51</f>
        <v>0</v>
      </c>
      <c r="N51">
        <f>ISOWEEKNUM(B51)</f>
        <v>0</v>
      </c>
      <c r="O51">
        <f>TEXT(B51,"mmm")</f>
        <v>0</v>
      </c>
      <c r="P51">
        <f>"Q"&amp;ROUNDUP(MONTH(B51)/3,0)</f>
        <v>0</v>
      </c>
      <c r="Q51">
        <f>IF(J51&gt;=4,"High",IF(J51&gt;=3,"Medium","Low"))</f>
        <v>0</v>
      </c>
      <c r="R51">
        <f>IF(K51&lt;=5,"On Time","Delayed")</f>
        <v>0</v>
      </c>
    </row>
    <row r="52" spans="1:18">
      <c r="A52">
        <f>RAW_DATA!A52</f>
        <v>0</v>
      </c>
      <c r="B52">
        <f>RAW_DATA!B52</f>
        <v>0</v>
      </c>
      <c r="C52">
        <f>RAW_DATA!C52</f>
        <v>0</v>
      </c>
      <c r="D52">
        <f>RAW_DATA!D52</f>
        <v>0</v>
      </c>
      <c r="E52">
        <f>RAW_DATA!E52</f>
        <v>0</v>
      </c>
      <c r="F52">
        <f>RAW_DATA!F52</f>
        <v>0</v>
      </c>
      <c r="G52">
        <f>RAW_DATA!G52</f>
        <v>0</v>
      </c>
      <c r="H52">
        <f>RAW_DATA!H52</f>
        <v>0</v>
      </c>
      <c r="I52">
        <f>RAW_DATA!I52</f>
        <v>0</v>
      </c>
      <c r="J52">
        <f>RAW_DATA!J52</f>
        <v>0</v>
      </c>
      <c r="K52">
        <f>RAW_DATA!K52</f>
        <v>0</v>
      </c>
      <c r="L52">
        <f>RAW_DATA!L52</f>
        <v>0</v>
      </c>
      <c r="M52">
        <f>H52*I52</f>
        <v>0</v>
      </c>
      <c r="N52">
        <f>ISOWEEKNUM(B52)</f>
        <v>0</v>
      </c>
      <c r="O52">
        <f>TEXT(B52,"mmm")</f>
        <v>0</v>
      </c>
      <c r="P52">
        <f>"Q"&amp;ROUNDUP(MONTH(B52)/3,0)</f>
        <v>0</v>
      </c>
      <c r="Q52">
        <f>IF(J52&gt;=4,"High",IF(J52&gt;=3,"Medium","Low"))</f>
        <v>0</v>
      </c>
      <c r="R52">
        <f>IF(K52&lt;=5,"On Time","Delayed")</f>
        <v>0</v>
      </c>
    </row>
    <row r="53" spans="1:18">
      <c r="A53">
        <f>RAW_DATA!A53</f>
        <v>0</v>
      </c>
      <c r="B53">
        <f>RAW_DATA!B53</f>
        <v>0</v>
      </c>
      <c r="C53">
        <f>RAW_DATA!C53</f>
        <v>0</v>
      </c>
      <c r="D53">
        <f>RAW_DATA!D53</f>
        <v>0</v>
      </c>
      <c r="E53">
        <f>RAW_DATA!E53</f>
        <v>0</v>
      </c>
      <c r="F53">
        <f>RAW_DATA!F53</f>
        <v>0</v>
      </c>
      <c r="G53">
        <f>RAW_DATA!G53</f>
        <v>0</v>
      </c>
      <c r="H53">
        <f>RAW_DATA!H53</f>
        <v>0</v>
      </c>
      <c r="I53">
        <f>RAW_DATA!I53</f>
        <v>0</v>
      </c>
      <c r="J53">
        <f>RAW_DATA!J53</f>
        <v>0</v>
      </c>
      <c r="K53">
        <f>RAW_DATA!K53</f>
        <v>0</v>
      </c>
      <c r="L53">
        <f>RAW_DATA!L53</f>
        <v>0</v>
      </c>
      <c r="M53">
        <f>H53*I53</f>
        <v>0</v>
      </c>
      <c r="N53">
        <f>ISOWEEKNUM(B53)</f>
        <v>0</v>
      </c>
      <c r="O53">
        <f>TEXT(B53,"mmm")</f>
        <v>0</v>
      </c>
      <c r="P53">
        <f>"Q"&amp;ROUNDUP(MONTH(B53)/3,0)</f>
        <v>0</v>
      </c>
      <c r="Q53">
        <f>IF(J53&gt;=4,"High",IF(J53&gt;=3,"Medium","Low"))</f>
        <v>0</v>
      </c>
      <c r="R53">
        <f>IF(K53&lt;=5,"On Time","Delayed")</f>
        <v>0</v>
      </c>
    </row>
    <row r="54" spans="1:18">
      <c r="A54">
        <f>RAW_DATA!A54</f>
        <v>0</v>
      </c>
      <c r="B54">
        <f>RAW_DATA!B54</f>
        <v>0</v>
      </c>
      <c r="C54">
        <f>RAW_DATA!C54</f>
        <v>0</v>
      </c>
      <c r="D54">
        <f>RAW_DATA!D54</f>
        <v>0</v>
      </c>
      <c r="E54">
        <f>RAW_DATA!E54</f>
        <v>0</v>
      </c>
      <c r="F54">
        <f>RAW_DATA!F54</f>
        <v>0</v>
      </c>
      <c r="G54">
        <f>RAW_DATA!G54</f>
        <v>0</v>
      </c>
      <c r="H54">
        <f>RAW_DATA!H54</f>
        <v>0</v>
      </c>
      <c r="I54">
        <f>RAW_DATA!I54</f>
        <v>0</v>
      </c>
      <c r="J54">
        <f>RAW_DATA!J54</f>
        <v>0</v>
      </c>
      <c r="K54">
        <f>RAW_DATA!K54</f>
        <v>0</v>
      </c>
      <c r="L54">
        <f>RAW_DATA!L54</f>
        <v>0</v>
      </c>
      <c r="M54">
        <f>H54*I54</f>
        <v>0</v>
      </c>
      <c r="N54">
        <f>ISOWEEKNUM(B54)</f>
        <v>0</v>
      </c>
      <c r="O54">
        <f>TEXT(B54,"mmm")</f>
        <v>0</v>
      </c>
      <c r="P54">
        <f>"Q"&amp;ROUNDUP(MONTH(B54)/3,0)</f>
        <v>0</v>
      </c>
      <c r="Q54">
        <f>IF(J54&gt;=4,"High",IF(J54&gt;=3,"Medium","Low"))</f>
        <v>0</v>
      </c>
      <c r="R54">
        <f>IF(K54&lt;=5,"On Time","Delayed")</f>
        <v>0</v>
      </c>
    </row>
    <row r="55" spans="1:18">
      <c r="A55">
        <f>RAW_DATA!A55</f>
        <v>0</v>
      </c>
      <c r="B55">
        <f>RAW_DATA!B55</f>
        <v>0</v>
      </c>
      <c r="C55">
        <f>RAW_DATA!C55</f>
        <v>0</v>
      </c>
      <c r="D55">
        <f>RAW_DATA!D55</f>
        <v>0</v>
      </c>
      <c r="E55">
        <f>RAW_DATA!E55</f>
        <v>0</v>
      </c>
      <c r="F55">
        <f>RAW_DATA!F55</f>
        <v>0</v>
      </c>
      <c r="G55">
        <f>RAW_DATA!G55</f>
        <v>0</v>
      </c>
      <c r="H55">
        <f>RAW_DATA!H55</f>
        <v>0</v>
      </c>
      <c r="I55">
        <f>RAW_DATA!I55</f>
        <v>0</v>
      </c>
      <c r="J55">
        <f>RAW_DATA!J55</f>
        <v>0</v>
      </c>
      <c r="K55">
        <f>RAW_DATA!K55</f>
        <v>0</v>
      </c>
      <c r="L55">
        <f>RAW_DATA!L55</f>
        <v>0</v>
      </c>
      <c r="M55">
        <f>H55*I55</f>
        <v>0</v>
      </c>
      <c r="N55">
        <f>ISOWEEKNUM(B55)</f>
        <v>0</v>
      </c>
      <c r="O55">
        <f>TEXT(B55,"mmm")</f>
        <v>0</v>
      </c>
      <c r="P55">
        <f>"Q"&amp;ROUNDUP(MONTH(B55)/3,0)</f>
        <v>0</v>
      </c>
      <c r="Q55">
        <f>IF(J55&gt;=4,"High",IF(J55&gt;=3,"Medium","Low"))</f>
        <v>0</v>
      </c>
      <c r="R55">
        <f>IF(K55&lt;=5,"On Time","Delayed")</f>
        <v>0</v>
      </c>
    </row>
    <row r="56" spans="1:18">
      <c r="A56">
        <f>RAW_DATA!A56</f>
        <v>0</v>
      </c>
      <c r="B56">
        <f>RAW_DATA!B56</f>
        <v>0</v>
      </c>
      <c r="C56">
        <f>RAW_DATA!C56</f>
        <v>0</v>
      </c>
      <c r="D56">
        <f>RAW_DATA!D56</f>
        <v>0</v>
      </c>
      <c r="E56">
        <f>RAW_DATA!E56</f>
        <v>0</v>
      </c>
      <c r="F56">
        <f>RAW_DATA!F56</f>
        <v>0</v>
      </c>
      <c r="G56">
        <f>RAW_DATA!G56</f>
        <v>0</v>
      </c>
      <c r="H56">
        <f>RAW_DATA!H56</f>
        <v>0</v>
      </c>
      <c r="I56">
        <f>RAW_DATA!I56</f>
        <v>0</v>
      </c>
      <c r="J56">
        <f>RAW_DATA!J56</f>
        <v>0</v>
      </c>
      <c r="K56">
        <f>RAW_DATA!K56</f>
        <v>0</v>
      </c>
      <c r="L56">
        <f>RAW_DATA!L56</f>
        <v>0</v>
      </c>
      <c r="M56">
        <f>H56*I56</f>
        <v>0</v>
      </c>
      <c r="N56">
        <f>ISOWEEKNUM(B56)</f>
        <v>0</v>
      </c>
      <c r="O56">
        <f>TEXT(B56,"mmm")</f>
        <v>0</v>
      </c>
      <c r="P56">
        <f>"Q"&amp;ROUNDUP(MONTH(B56)/3,0)</f>
        <v>0</v>
      </c>
      <c r="Q56">
        <f>IF(J56&gt;=4,"High",IF(J56&gt;=3,"Medium","Low"))</f>
        <v>0</v>
      </c>
      <c r="R56">
        <f>IF(K56&lt;=5,"On Time","Delayed")</f>
        <v>0</v>
      </c>
    </row>
    <row r="57" spans="1:18">
      <c r="A57">
        <f>RAW_DATA!A57</f>
        <v>0</v>
      </c>
      <c r="B57">
        <f>RAW_DATA!B57</f>
        <v>0</v>
      </c>
      <c r="C57">
        <f>RAW_DATA!C57</f>
        <v>0</v>
      </c>
      <c r="D57">
        <f>RAW_DATA!D57</f>
        <v>0</v>
      </c>
      <c r="E57">
        <f>RAW_DATA!E57</f>
        <v>0</v>
      </c>
      <c r="F57">
        <f>RAW_DATA!F57</f>
        <v>0</v>
      </c>
      <c r="G57">
        <f>RAW_DATA!G57</f>
        <v>0</v>
      </c>
      <c r="H57">
        <f>RAW_DATA!H57</f>
        <v>0</v>
      </c>
      <c r="I57">
        <f>RAW_DATA!I57</f>
        <v>0</v>
      </c>
      <c r="J57">
        <f>RAW_DATA!J57</f>
        <v>0</v>
      </c>
      <c r="K57">
        <f>RAW_DATA!K57</f>
        <v>0</v>
      </c>
      <c r="L57">
        <f>RAW_DATA!L57</f>
        <v>0</v>
      </c>
      <c r="M57">
        <f>H57*I57</f>
        <v>0</v>
      </c>
      <c r="N57">
        <f>ISOWEEKNUM(B57)</f>
        <v>0</v>
      </c>
      <c r="O57">
        <f>TEXT(B57,"mmm")</f>
        <v>0</v>
      </c>
      <c r="P57">
        <f>"Q"&amp;ROUNDUP(MONTH(B57)/3,0)</f>
        <v>0</v>
      </c>
      <c r="Q57">
        <f>IF(J57&gt;=4,"High",IF(J57&gt;=3,"Medium","Low"))</f>
        <v>0</v>
      </c>
      <c r="R57">
        <f>IF(K57&lt;=5,"On Time","Delayed")</f>
        <v>0</v>
      </c>
    </row>
    <row r="58" spans="1:18">
      <c r="A58">
        <f>RAW_DATA!A58</f>
        <v>0</v>
      </c>
      <c r="B58">
        <f>RAW_DATA!B58</f>
        <v>0</v>
      </c>
      <c r="C58">
        <f>RAW_DATA!C58</f>
        <v>0</v>
      </c>
      <c r="D58">
        <f>RAW_DATA!D58</f>
        <v>0</v>
      </c>
      <c r="E58">
        <f>RAW_DATA!E58</f>
        <v>0</v>
      </c>
      <c r="F58">
        <f>RAW_DATA!F58</f>
        <v>0</v>
      </c>
      <c r="G58">
        <f>RAW_DATA!G58</f>
        <v>0</v>
      </c>
      <c r="H58">
        <f>RAW_DATA!H58</f>
        <v>0</v>
      </c>
      <c r="I58">
        <f>RAW_DATA!I58</f>
        <v>0</v>
      </c>
      <c r="J58">
        <f>RAW_DATA!J58</f>
        <v>0</v>
      </c>
      <c r="K58">
        <f>RAW_DATA!K58</f>
        <v>0</v>
      </c>
      <c r="L58">
        <f>RAW_DATA!L58</f>
        <v>0</v>
      </c>
      <c r="M58">
        <f>H58*I58</f>
        <v>0</v>
      </c>
      <c r="N58">
        <f>ISOWEEKNUM(B58)</f>
        <v>0</v>
      </c>
      <c r="O58">
        <f>TEXT(B58,"mmm")</f>
        <v>0</v>
      </c>
      <c r="P58">
        <f>"Q"&amp;ROUNDUP(MONTH(B58)/3,0)</f>
        <v>0</v>
      </c>
      <c r="Q58">
        <f>IF(J58&gt;=4,"High",IF(J58&gt;=3,"Medium","Low"))</f>
        <v>0</v>
      </c>
      <c r="R58">
        <f>IF(K58&lt;=5,"On Time","Delayed")</f>
        <v>0</v>
      </c>
    </row>
    <row r="59" spans="1:18">
      <c r="A59">
        <f>RAW_DATA!A59</f>
        <v>0</v>
      </c>
      <c r="B59">
        <f>RAW_DATA!B59</f>
        <v>0</v>
      </c>
      <c r="C59">
        <f>RAW_DATA!C59</f>
        <v>0</v>
      </c>
      <c r="D59">
        <f>RAW_DATA!D59</f>
        <v>0</v>
      </c>
      <c r="E59">
        <f>RAW_DATA!E59</f>
        <v>0</v>
      </c>
      <c r="F59">
        <f>RAW_DATA!F59</f>
        <v>0</v>
      </c>
      <c r="G59">
        <f>RAW_DATA!G59</f>
        <v>0</v>
      </c>
      <c r="H59">
        <f>RAW_DATA!H59</f>
        <v>0</v>
      </c>
      <c r="I59">
        <f>RAW_DATA!I59</f>
        <v>0</v>
      </c>
      <c r="J59">
        <f>RAW_DATA!J59</f>
        <v>0</v>
      </c>
      <c r="K59">
        <f>RAW_DATA!K59</f>
        <v>0</v>
      </c>
      <c r="L59">
        <f>RAW_DATA!L59</f>
        <v>0</v>
      </c>
      <c r="M59">
        <f>H59*I59</f>
        <v>0</v>
      </c>
      <c r="N59">
        <f>ISOWEEKNUM(B59)</f>
        <v>0</v>
      </c>
      <c r="O59">
        <f>TEXT(B59,"mmm")</f>
        <v>0</v>
      </c>
      <c r="P59">
        <f>"Q"&amp;ROUNDUP(MONTH(B59)/3,0)</f>
        <v>0</v>
      </c>
      <c r="Q59">
        <f>IF(J59&gt;=4,"High",IF(J59&gt;=3,"Medium","Low"))</f>
        <v>0</v>
      </c>
      <c r="R59">
        <f>IF(K59&lt;=5,"On Time","Delayed")</f>
        <v>0</v>
      </c>
    </row>
    <row r="60" spans="1:18">
      <c r="A60">
        <f>RAW_DATA!A60</f>
        <v>0</v>
      </c>
      <c r="B60">
        <f>RAW_DATA!B60</f>
        <v>0</v>
      </c>
      <c r="C60">
        <f>RAW_DATA!C60</f>
        <v>0</v>
      </c>
      <c r="D60">
        <f>RAW_DATA!D60</f>
        <v>0</v>
      </c>
      <c r="E60">
        <f>RAW_DATA!E60</f>
        <v>0</v>
      </c>
      <c r="F60">
        <f>RAW_DATA!F60</f>
        <v>0</v>
      </c>
      <c r="G60">
        <f>RAW_DATA!G60</f>
        <v>0</v>
      </c>
      <c r="H60">
        <f>RAW_DATA!H60</f>
        <v>0</v>
      </c>
      <c r="I60">
        <f>RAW_DATA!I60</f>
        <v>0</v>
      </c>
      <c r="J60">
        <f>RAW_DATA!J60</f>
        <v>0</v>
      </c>
      <c r="K60">
        <f>RAW_DATA!K60</f>
        <v>0</v>
      </c>
      <c r="L60">
        <f>RAW_DATA!L60</f>
        <v>0</v>
      </c>
      <c r="M60">
        <f>H60*I60</f>
        <v>0</v>
      </c>
      <c r="N60">
        <f>ISOWEEKNUM(B60)</f>
        <v>0</v>
      </c>
      <c r="O60">
        <f>TEXT(B60,"mmm")</f>
        <v>0</v>
      </c>
      <c r="P60">
        <f>"Q"&amp;ROUNDUP(MONTH(B60)/3,0)</f>
        <v>0</v>
      </c>
      <c r="Q60">
        <f>IF(J60&gt;=4,"High",IF(J60&gt;=3,"Medium","Low"))</f>
        <v>0</v>
      </c>
      <c r="R60">
        <f>IF(K60&lt;=5,"On Time","Delayed")</f>
        <v>0</v>
      </c>
    </row>
    <row r="61" spans="1:18">
      <c r="A61">
        <f>RAW_DATA!A61</f>
        <v>0</v>
      </c>
      <c r="B61">
        <f>RAW_DATA!B61</f>
        <v>0</v>
      </c>
      <c r="C61">
        <f>RAW_DATA!C61</f>
        <v>0</v>
      </c>
      <c r="D61">
        <f>RAW_DATA!D61</f>
        <v>0</v>
      </c>
      <c r="E61">
        <f>RAW_DATA!E61</f>
        <v>0</v>
      </c>
      <c r="F61">
        <f>RAW_DATA!F61</f>
        <v>0</v>
      </c>
      <c r="G61">
        <f>RAW_DATA!G61</f>
        <v>0</v>
      </c>
      <c r="H61">
        <f>RAW_DATA!H61</f>
        <v>0</v>
      </c>
      <c r="I61">
        <f>RAW_DATA!I61</f>
        <v>0</v>
      </c>
      <c r="J61">
        <f>RAW_DATA!J61</f>
        <v>0</v>
      </c>
      <c r="K61">
        <f>RAW_DATA!K61</f>
        <v>0</v>
      </c>
      <c r="L61">
        <f>RAW_DATA!L61</f>
        <v>0</v>
      </c>
      <c r="M61">
        <f>H61*I61</f>
        <v>0</v>
      </c>
      <c r="N61">
        <f>ISOWEEKNUM(B61)</f>
        <v>0</v>
      </c>
      <c r="O61">
        <f>TEXT(B61,"mmm")</f>
        <v>0</v>
      </c>
      <c r="P61">
        <f>"Q"&amp;ROUNDUP(MONTH(B61)/3,0)</f>
        <v>0</v>
      </c>
      <c r="Q61">
        <f>IF(J61&gt;=4,"High",IF(J61&gt;=3,"Medium","Low"))</f>
        <v>0</v>
      </c>
      <c r="R61">
        <f>IF(K61&lt;=5,"On Time","Delayed")</f>
        <v>0</v>
      </c>
    </row>
    <row r="62" spans="1:18">
      <c r="A62">
        <f>RAW_DATA!A62</f>
        <v>0</v>
      </c>
      <c r="B62">
        <f>RAW_DATA!B62</f>
        <v>0</v>
      </c>
      <c r="C62">
        <f>RAW_DATA!C62</f>
        <v>0</v>
      </c>
      <c r="D62">
        <f>RAW_DATA!D62</f>
        <v>0</v>
      </c>
      <c r="E62">
        <f>RAW_DATA!E62</f>
        <v>0</v>
      </c>
      <c r="F62">
        <f>RAW_DATA!F62</f>
        <v>0</v>
      </c>
      <c r="G62">
        <f>RAW_DATA!G62</f>
        <v>0</v>
      </c>
      <c r="H62">
        <f>RAW_DATA!H62</f>
        <v>0</v>
      </c>
      <c r="I62">
        <f>RAW_DATA!I62</f>
        <v>0</v>
      </c>
      <c r="J62">
        <f>RAW_DATA!J62</f>
        <v>0</v>
      </c>
      <c r="K62">
        <f>RAW_DATA!K62</f>
        <v>0</v>
      </c>
      <c r="L62">
        <f>RAW_DATA!L62</f>
        <v>0</v>
      </c>
      <c r="M62">
        <f>H62*I62</f>
        <v>0</v>
      </c>
      <c r="N62">
        <f>ISOWEEKNUM(B62)</f>
        <v>0</v>
      </c>
      <c r="O62">
        <f>TEXT(B62,"mmm")</f>
        <v>0</v>
      </c>
      <c r="P62">
        <f>"Q"&amp;ROUNDUP(MONTH(B62)/3,0)</f>
        <v>0</v>
      </c>
      <c r="Q62">
        <f>IF(J62&gt;=4,"High",IF(J62&gt;=3,"Medium","Low"))</f>
        <v>0</v>
      </c>
      <c r="R62">
        <f>IF(K62&lt;=5,"On Time","Delayed")</f>
        <v>0</v>
      </c>
    </row>
    <row r="63" spans="1:18">
      <c r="A63">
        <f>RAW_DATA!A63</f>
        <v>0</v>
      </c>
      <c r="B63">
        <f>RAW_DATA!B63</f>
        <v>0</v>
      </c>
      <c r="C63">
        <f>RAW_DATA!C63</f>
        <v>0</v>
      </c>
      <c r="D63">
        <f>RAW_DATA!D63</f>
        <v>0</v>
      </c>
      <c r="E63">
        <f>RAW_DATA!E63</f>
        <v>0</v>
      </c>
      <c r="F63">
        <f>RAW_DATA!F63</f>
        <v>0</v>
      </c>
      <c r="G63">
        <f>RAW_DATA!G63</f>
        <v>0</v>
      </c>
      <c r="H63">
        <f>RAW_DATA!H63</f>
        <v>0</v>
      </c>
      <c r="I63">
        <f>RAW_DATA!I63</f>
        <v>0</v>
      </c>
      <c r="J63">
        <f>RAW_DATA!J63</f>
        <v>0</v>
      </c>
      <c r="K63">
        <f>RAW_DATA!K63</f>
        <v>0</v>
      </c>
      <c r="L63">
        <f>RAW_DATA!L63</f>
        <v>0</v>
      </c>
      <c r="M63">
        <f>H63*I63</f>
        <v>0</v>
      </c>
      <c r="N63">
        <f>ISOWEEKNUM(B63)</f>
        <v>0</v>
      </c>
      <c r="O63">
        <f>TEXT(B63,"mmm")</f>
        <v>0</v>
      </c>
      <c r="P63">
        <f>"Q"&amp;ROUNDUP(MONTH(B63)/3,0)</f>
        <v>0</v>
      </c>
      <c r="Q63">
        <f>IF(J63&gt;=4,"High",IF(J63&gt;=3,"Medium","Low"))</f>
        <v>0</v>
      </c>
      <c r="R63">
        <f>IF(K63&lt;=5,"On Time","Delayed")</f>
        <v>0</v>
      </c>
    </row>
    <row r="64" spans="1:18">
      <c r="A64">
        <f>RAW_DATA!A64</f>
        <v>0</v>
      </c>
      <c r="B64">
        <f>RAW_DATA!B64</f>
        <v>0</v>
      </c>
      <c r="C64">
        <f>RAW_DATA!C64</f>
        <v>0</v>
      </c>
      <c r="D64">
        <f>RAW_DATA!D64</f>
        <v>0</v>
      </c>
      <c r="E64">
        <f>RAW_DATA!E64</f>
        <v>0</v>
      </c>
      <c r="F64">
        <f>RAW_DATA!F64</f>
        <v>0</v>
      </c>
      <c r="G64">
        <f>RAW_DATA!G64</f>
        <v>0</v>
      </c>
      <c r="H64">
        <f>RAW_DATA!H64</f>
        <v>0</v>
      </c>
      <c r="I64">
        <f>RAW_DATA!I64</f>
        <v>0</v>
      </c>
      <c r="J64">
        <f>RAW_DATA!J64</f>
        <v>0</v>
      </c>
      <c r="K64">
        <f>RAW_DATA!K64</f>
        <v>0</v>
      </c>
      <c r="L64">
        <f>RAW_DATA!L64</f>
        <v>0</v>
      </c>
      <c r="M64">
        <f>H64*I64</f>
        <v>0</v>
      </c>
      <c r="N64">
        <f>ISOWEEKNUM(B64)</f>
        <v>0</v>
      </c>
      <c r="O64">
        <f>TEXT(B64,"mmm")</f>
        <v>0</v>
      </c>
      <c r="P64">
        <f>"Q"&amp;ROUNDUP(MONTH(B64)/3,0)</f>
        <v>0</v>
      </c>
      <c r="Q64">
        <f>IF(J64&gt;=4,"High",IF(J64&gt;=3,"Medium","Low"))</f>
        <v>0</v>
      </c>
      <c r="R64">
        <f>IF(K64&lt;=5,"On Time","Delayed")</f>
        <v>0</v>
      </c>
    </row>
    <row r="65" spans="1:18">
      <c r="A65">
        <f>RAW_DATA!A65</f>
        <v>0</v>
      </c>
      <c r="B65">
        <f>RAW_DATA!B65</f>
        <v>0</v>
      </c>
      <c r="C65">
        <f>RAW_DATA!C65</f>
        <v>0</v>
      </c>
      <c r="D65">
        <f>RAW_DATA!D65</f>
        <v>0</v>
      </c>
      <c r="E65">
        <f>RAW_DATA!E65</f>
        <v>0</v>
      </c>
      <c r="F65">
        <f>RAW_DATA!F65</f>
        <v>0</v>
      </c>
      <c r="G65">
        <f>RAW_DATA!G65</f>
        <v>0</v>
      </c>
      <c r="H65">
        <f>RAW_DATA!H65</f>
        <v>0</v>
      </c>
      <c r="I65">
        <f>RAW_DATA!I65</f>
        <v>0</v>
      </c>
      <c r="J65">
        <f>RAW_DATA!J65</f>
        <v>0</v>
      </c>
      <c r="K65">
        <f>RAW_DATA!K65</f>
        <v>0</v>
      </c>
      <c r="L65">
        <f>RAW_DATA!L65</f>
        <v>0</v>
      </c>
      <c r="M65">
        <f>H65*I65</f>
        <v>0</v>
      </c>
      <c r="N65">
        <f>ISOWEEKNUM(B65)</f>
        <v>0</v>
      </c>
      <c r="O65">
        <f>TEXT(B65,"mmm")</f>
        <v>0</v>
      </c>
      <c r="P65">
        <f>"Q"&amp;ROUNDUP(MONTH(B65)/3,0)</f>
        <v>0</v>
      </c>
      <c r="Q65">
        <f>IF(J65&gt;=4,"High",IF(J65&gt;=3,"Medium","Low"))</f>
        <v>0</v>
      </c>
      <c r="R65">
        <f>IF(K65&lt;=5,"On Time","Delayed")</f>
        <v>0</v>
      </c>
    </row>
    <row r="66" spans="1:18">
      <c r="A66">
        <f>RAW_DATA!A66</f>
        <v>0</v>
      </c>
      <c r="B66">
        <f>RAW_DATA!B66</f>
        <v>0</v>
      </c>
      <c r="C66">
        <f>RAW_DATA!C66</f>
        <v>0</v>
      </c>
      <c r="D66">
        <f>RAW_DATA!D66</f>
        <v>0</v>
      </c>
      <c r="E66">
        <f>RAW_DATA!E66</f>
        <v>0</v>
      </c>
      <c r="F66">
        <f>RAW_DATA!F66</f>
        <v>0</v>
      </c>
      <c r="G66">
        <f>RAW_DATA!G66</f>
        <v>0</v>
      </c>
      <c r="H66">
        <f>RAW_DATA!H66</f>
        <v>0</v>
      </c>
      <c r="I66">
        <f>RAW_DATA!I66</f>
        <v>0</v>
      </c>
      <c r="J66">
        <f>RAW_DATA!J66</f>
        <v>0</v>
      </c>
      <c r="K66">
        <f>RAW_DATA!K66</f>
        <v>0</v>
      </c>
      <c r="L66">
        <f>RAW_DATA!L66</f>
        <v>0</v>
      </c>
      <c r="M66">
        <f>H66*I66</f>
        <v>0</v>
      </c>
      <c r="N66">
        <f>ISOWEEKNUM(B66)</f>
        <v>0</v>
      </c>
      <c r="O66">
        <f>TEXT(B66,"mmm")</f>
        <v>0</v>
      </c>
      <c r="P66">
        <f>"Q"&amp;ROUNDUP(MONTH(B66)/3,0)</f>
        <v>0</v>
      </c>
      <c r="Q66">
        <f>IF(J66&gt;=4,"High",IF(J66&gt;=3,"Medium","Low"))</f>
        <v>0</v>
      </c>
      <c r="R66">
        <f>IF(K66&lt;=5,"On Time","Delayed")</f>
        <v>0</v>
      </c>
    </row>
    <row r="67" spans="1:18">
      <c r="A67">
        <f>RAW_DATA!A67</f>
        <v>0</v>
      </c>
      <c r="B67">
        <f>RAW_DATA!B67</f>
        <v>0</v>
      </c>
      <c r="C67">
        <f>RAW_DATA!C67</f>
        <v>0</v>
      </c>
      <c r="D67">
        <f>RAW_DATA!D67</f>
        <v>0</v>
      </c>
      <c r="E67">
        <f>RAW_DATA!E67</f>
        <v>0</v>
      </c>
      <c r="F67">
        <f>RAW_DATA!F67</f>
        <v>0</v>
      </c>
      <c r="G67">
        <f>RAW_DATA!G67</f>
        <v>0</v>
      </c>
      <c r="H67">
        <f>RAW_DATA!H67</f>
        <v>0</v>
      </c>
      <c r="I67">
        <f>RAW_DATA!I67</f>
        <v>0</v>
      </c>
      <c r="J67">
        <f>RAW_DATA!J67</f>
        <v>0</v>
      </c>
      <c r="K67">
        <f>RAW_DATA!K67</f>
        <v>0</v>
      </c>
      <c r="L67">
        <f>RAW_DATA!L67</f>
        <v>0</v>
      </c>
      <c r="M67">
        <f>H67*I67</f>
        <v>0</v>
      </c>
      <c r="N67">
        <f>ISOWEEKNUM(B67)</f>
        <v>0</v>
      </c>
      <c r="O67">
        <f>TEXT(B67,"mmm")</f>
        <v>0</v>
      </c>
      <c r="P67">
        <f>"Q"&amp;ROUNDUP(MONTH(B67)/3,0)</f>
        <v>0</v>
      </c>
      <c r="Q67">
        <f>IF(J67&gt;=4,"High",IF(J67&gt;=3,"Medium","Low"))</f>
        <v>0</v>
      </c>
      <c r="R67">
        <f>IF(K67&lt;=5,"On Time","Delayed")</f>
        <v>0</v>
      </c>
    </row>
    <row r="68" spans="1:18">
      <c r="A68">
        <f>RAW_DATA!A68</f>
        <v>0</v>
      </c>
      <c r="B68">
        <f>RAW_DATA!B68</f>
        <v>0</v>
      </c>
      <c r="C68">
        <f>RAW_DATA!C68</f>
        <v>0</v>
      </c>
      <c r="D68">
        <f>RAW_DATA!D68</f>
        <v>0</v>
      </c>
      <c r="E68">
        <f>RAW_DATA!E68</f>
        <v>0</v>
      </c>
      <c r="F68">
        <f>RAW_DATA!F68</f>
        <v>0</v>
      </c>
      <c r="G68">
        <f>RAW_DATA!G68</f>
        <v>0</v>
      </c>
      <c r="H68">
        <f>RAW_DATA!H68</f>
        <v>0</v>
      </c>
      <c r="I68">
        <f>RAW_DATA!I68</f>
        <v>0</v>
      </c>
      <c r="J68">
        <f>RAW_DATA!J68</f>
        <v>0</v>
      </c>
      <c r="K68">
        <f>RAW_DATA!K68</f>
        <v>0</v>
      </c>
      <c r="L68">
        <f>RAW_DATA!L68</f>
        <v>0</v>
      </c>
      <c r="M68">
        <f>H68*I68</f>
        <v>0</v>
      </c>
      <c r="N68">
        <f>ISOWEEKNUM(B68)</f>
        <v>0</v>
      </c>
      <c r="O68">
        <f>TEXT(B68,"mmm")</f>
        <v>0</v>
      </c>
      <c r="P68">
        <f>"Q"&amp;ROUNDUP(MONTH(B68)/3,0)</f>
        <v>0</v>
      </c>
      <c r="Q68">
        <f>IF(J68&gt;=4,"High",IF(J68&gt;=3,"Medium","Low"))</f>
        <v>0</v>
      </c>
      <c r="R68">
        <f>IF(K68&lt;=5,"On Time","Delayed")</f>
        <v>0</v>
      </c>
    </row>
    <row r="69" spans="1:18">
      <c r="A69">
        <f>RAW_DATA!A69</f>
        <v>0</v>
      </c>
      <c r="B69">
        <f>RAW_DATA!B69</f>
        <v>0</v>
      </c>
      <c r="C69">
        <f>RAW_DATA!C69</f>
        <v>0</v>
      </c>
      <c r="D69">
        <f>RAW_DATA!D69</f>
        <v>0</v>
      </c>
      <c r="E69">
        <f>RAW_DATA!E69</f>
        <v>0</v>
      </c>
      <c r="F69">
        <f>RAW_DATA!F69</f>
        <v>0</v>
      </c>
      <c r="G69">
        <f>RAW_DATA!G69</f>
        <v>0</v>
      </c>
      <c r="H69">
        <f>RAW_DATA!H69</f>
        <v>0</v>
      </c>
      <c r="I69">
        <f>RAW_DATA!I69</f>
        <v>0</v>
      </c>
      <c r="J69">
        <f>RAW_DATA!J69</f>
        <v>0</v>
      </c>
      <c r="K69">
        <f>RAW_DATA!K69</f>
        <v>0</v>
      </c>
      <c r="L69">
        <f>RAW_DATA!L69</f>
        <v>0</v>
      </c>
      <c r="M69">
        <f>H69*I69</f>
        <v>0</v>
      </c>
      <c r="N69">
        <f>ISOWEEKNUM(B69)</f>
        <v>0</v>
      </c>
      <c r="O69">
        <f>TEXT(B69,"mmm")</f>
        <v>0</v>
      </c>
      <c r="P69">
        <f>"Q"&amp;ROUNDUP(MONTH(B69)/3,0)</f>
        <v>0</v>
      </c>
      <c r="Q69">
        <f>IF(J69&gt;=4,"High",IF(J69&gt;=3,"Medium","Low"))</f>
        <v>0</v>
      </c>
      <c r="R69">
        <f>IF(K69&lt;=5,"On Time","Delayed")</f>
        <v>0</v>
      </c>
    </row>
    <row r="70" spans="1:18">
      <c r="A70">
        <f>RAW_DATA!A70</f>
        <v>0</v>
      </c>
      <c r="B70">
        <f>RAW_DATA!B70</f>
        <v>0</v>
      </c>
      <c r="C70">
        <f>RAW_DATA!C70</f>
        <v>0</v>
      </c>
      <c r="D70">
        <f>RAW_DATA!D70</f>
        <v>0</v>
      </c>
      <c r="E70">
        <f>RAW_DATA!E70</f>
        <v>0</v>
      </c>
      <c r="F70">
        <f>RAW_DATA!F70</f>
        <v>0</v>
      </c>
      <c r="G70">
        <f>RAW_DATA!G70</f>
        <v>0</v>
      </c>
      <c r="H70">
        <f>RAW_DATA!H70</f>
        <v>0</v>
      </c>
      <c r="I70">
        <f>RAW_DATA!I70</f>
        <v>0</v>
      </c>
      <c r="J70">
        <f>RAW_DATA!J70</f>
        <v>0</v>
      </c>
      <c r="K70">
        <f>RAW_DATA!K70</f>
        <v>0</v>
      </c>
      <c r="L70">
        <f>RAW_DATA!L70</f>
        <v>0</v>
      </c>
      <c r="M70">
        <f>H70*I70</f>
        <v>0</v>
      </c>
      <c r="N70">
        <f>ISOWEEKNUM(B70)</f>
        <v>0</v>
      </c>
      <c r="O70">
        <f>TEXT(B70,"mmm")</f>
        <v>0</v>
      </c>
      <c r="P70">
        <f>"Q"&amp;ROUNDUP(MONTH(B70)/3,0)</f>
        <v>0</v>
      </c>
      <c r="Q70">
        <f>IF(J70&gt;=4,"High",IF(J70&gt;=3,"Medium","Low"))</f>
        <v>0</v>
      </c>
      <c r="R70">
        <f>IF(K70&lt;=5,"On Time","Delayed")</f>
        <v>0</v>
      </c>
    </row>
    <row r="71" spans="1:18">
      <c r="A71">
        <f>RAW_DATA!A71</f>
        <v>0</v>
      </c>
      <c r="B71">
        <f>RAW_DATA!B71</f>
        <v>0</v>
      </c>
      <c r="C71">
        <f>RAW_DATA!C71</f>
        <v>0</v>
      </c>
      <c r="D71">
        <f>RAW_DATA!D71</f>
        <v>0</v>
      </c>
      <c r="E71">
        <f>RAW_DATA!E71</f>
        <v>0</v>
      </c>
      <c r="F71">
        <f>RAW_DATA!F71</f>
        <v>0</v>
      </c>
      <c r="G71">
        <f>RAW_DATA!G71</f>
        <v>0</v>
      </c>
      <c r="H71">
        <f>RAW_DATA!H71</f>
        <v>0</v>
      </c>
      <c r="I71">
        <f>RAW_DATA!I71</f>
        <v>0</v>
      </c>
      <c r="J71">
        <f>RAW_DATA!J71</f>
        <v>0</v>
      </c>
      <c r="K71">
        <f>RAW_DATA!K71</f>
        <v>0</v>
      </c>
      <c r="L71">
        <f>RAW_DATA!L71</f>
        <v>0</v>
      </c>
      <c r="M71">
        <f>H71*I71</f>
        <v>0</v>
      </c>
      <c r="N71">
        <f>ISOWEEKNUM(B71)</f>
        <v>0</v>
      </c>
      <c r="O71">
        <f>TEXT(B71,"mmm")</f>
        <v>0</v>
      </c>
      <c r="P71">
        <f>"Q"&amp;ROUNDUP(MONTH(B71)/3,0)</f>
        <v>0</v>
      </c>
      <c r="Q71">
        <f>IF(J71&gt;=4,"High",IF(J71&gt;=3,"Medium","Low"))</f>
        <v>0</v>
      </c>
      <c r="R71">
        <f>IF(K71&lt;=5,"On Time","Delayed")</f>
        <v>0</v>
      </c>
    </row>
    <row r="72" spans="1:18">
      <c r="A72">
        <f>RAW_DATA!A72</f>
        <v>0</v>
      </c>
      <c r="B72">
        <f>RAW_DATA!B72</f>
        <v>0</v>
      </c>
      <c r="C72">
        <f>RAW_DATA!C72</f>
        <v>0</v>
      </c>
      <c r="D72">
        <f>RAW_DATA!D72</f>
        <v>0</v>
      </c>
      <c r="E72">
        <f>RAW_DATA!E72</f>
        <v>0</v>
      </c>
      <c r="F72">
        <f>RAW_DATA!F72</f>
        <v>0</v>
      </c>
      <c r="G72">
        <f>RAW_DATA!G72</f>
        <v>0</v>
      </c>
      <c r="H72">
        <f>RAW_DATA!H72</f>
        <v>0</v>
      </c>
      <c r="I72">
        <f>RAW_DATA!I72</f>
        <v>0</v>
      </c>
      <c r="J72">
        <f>RAW_DATA!J72</f>
        <v>0</v>
      </c>
      <c r="K72">
        <f>RAW_DATA!K72</f>
        <v>0</v>
      </c>
      <c r="L72">
        <f>RAW_DATA!L72</f>
        <v>0</v>
      </c>
      <c r="M72">
        <f>H72*I72</f>
        <v>0</v>
      </c>
      <c r="N72">
        <f>ISOWEEKNUM(B72)</f>
        <v>0</v>
      </c>
      <c r="O72">
        <f>TEXT(B72,"mmm")</f>
        <v>0</v>
      </c>
      <c r="P72">
        <f>"Q"&amp;ROUNDUP(MONTH(B72)/3,0)</f>
        <v>0</v>
      </c>
      <c r="Q72">
        <f>IF(J72&gt;=4,"High",IF(J72&gt;=3,"Medium","Low"))</f>
        <v>0</v>
      </c>
      <c r="R72">
        <f>IF(K72&lt;=5,"On Time","Delayed")</f>
        <v>0</v>
      </c>
    </row>
    <row r="73" spans="1:18">
      <c r="A73">
        <f>RAW_DATA!A73</f>
        <v>0</v>
      </c>
      <c r="B73">
        <f>RAW_DATA!B73</f>
        <v>0</v>
      </c>
      <c r="C73">
        <f>RAW_DATA!C73</f>
        <v>0</v>
      </c>
      <c r="D73">
        <f>RAW_DATA!D73</f>
        <v>0</v>
      </c>
      <c r="E73">
        <f>RAW_DATA!E73</f>
        <v>0</v>
      </c>
      <c r="F73">
        <f>RAW_DATA!F73</f>
        <v>0</v>
      </c>
      <c r="G73">
        <f>RAW_DATA!G73</f>
        <v>0</v>
      </c>
      <c r="H73">
        <f>RAW_DATA!H73</f>
        <v>0</v>
      </c>
      <c r="I73">
        <f>RAW_DATA!I73</f>
        <v>0</v>
      </c>
      <c r="J73">
        <f>RAW_DATA!J73</f>
        <v>0</v>
      </c>
      <c r="K73">
        <f>RAW_DATA!K73</f>
        <v>0</v>
      </c>
      <c r="L73">
        <f>RAW_DATA!L73</f>
        <v>0</v>
      </c>
      <c r="M73">
        <f>H73*I73</f>
        <v>0</v>
      </c>
      <c r="N73">
        <f>ISOWEEKNUM(B73)</f>
        <v>0</v>
      </c>
      <c r="O73">
        <f>TEXT(B73,"mmm")</f>
        <v>0</v>
      </c>
      <c r="P73">
        <f>"Q"&amp;ROUNDUP(MONTH(B73)/3,0)</f>
        <v>0</v>
      </c>
      <c r="Q73">
        <f>IF(J73&gt;=4,"High",IF(J73&gt;=3,"Medium","Low"))</f>
        <v>0</v>
      </c>
      <c r="R73">
        <f>IF(K73&lt;=5,"On Time","Delayed")</f>
        <v>0</v>
      </c>
    </row>
    <row r="74" spans="1:18">
      <c r="A74">
        <f>RAW_DATA!A74</f>
        <v>0</v>
      </c>
      <c r="B74">
        <f>RAW_DATA!B74</f>
        <v>0</v>
      </c>
      <c r="C74">
        <f>RAW_DATA!C74</f>
        <v>0</v>
      </c>
      <c r="D74">
        <f>RAW_DATA!D74</f>
        <v>0</v>
      </c>
      <c r="E74">
        <f>RAW_DATA!E74</f>
        <v>0</v>
      </c>
      <c r="F74">
        <f>RAW_DATA!F74</f>
        <v>0</v>
      </c>
      <c r="G74">
        <f>RAW_DATA!G74</f>
        <v>0</v>
      </c>
      <c r="H74">
        <f>RAW_DATA!H74</f>
        <v>0</v>
      </c>
      <c r="I74">
        <f>RAW_DATA!I74</f>
        <v>0</v>
      </c>
      <c r="J74">
        <f>RAW_DATA!J74</f>
        <v>0</v>
      </c>
      <c r="K74">
        <f>RAW_DATA!K74</f>
        <v>0</v>
      </c>
      <c r="L74">
        <f>RAW_DATA!L74</f>
        <v>0</v>
      </c>
      <c r="M74">
        <f>H74*I74</f>
        <v>0</v>
      </c>
      <c r="N74">
        <f>ISOWEEKNUM(B74)</f>
        <v>0</v>
      </c>
      <c r="O74">
        <f>TEXT(B74,"mmm")</f>
        <v>0</v>
      </c>
      <c r="P74">
        <f>"Q"&amp;ROUNDUP(MONTH(B74)/3,0)</f>
        <v>0</v>
      </c>
      <c r="Q74">
        <f>IF(J74&gt;=4,"High",IF(J74&gt;=3,"Medium","Low"))</f>
        <v>0</v>
      </c>
      <c r="R74">
        <f>IF(K74&lt;=5,"On Time","Delayed")</f>
        <v>0</v>
      </c>
    </row>
    <row r="75" spans="1:18">
      <c r="A75">
        <f>RAW_DATA!A75</f>
        <v>0</v>
      </c>
      <c r="B75">
        <f>RAW_DATA!B75</f>
        <v>0</v>
      </c>
      <c r="C75">
        <f>RAW_DATA!C75</f>
        <v>0</v>
      </c>
      <c r="D75">
        <f>RAW_DATA!D75</f>
        <v>0</v>
      </c>
      <c r="E75">
        <f>RAW_DATA!E75</f>
        <v>0</v>
      </c>
      <c r="F75">
        <f>RAW_DATA!F75</f>
        <v>0</v>
      </c>
      <c r="G75">
        <f>RAW_DATA!G75</f>
        <v>0</v>
      </c>
      <c r="H75">
        <f>RAW_DATA!H75</f>
        <v>0</v>
      </c>
      <c r="I75">
        <f>RAW_DATA!I75</f>
        <v>0</v>
      </c>
      <c r="J75">
        <f>RAW_DATA!J75</f>
        <v>0</v>
      </c>
      <c r="K75">
        <f>RAW_DATA!K75</f>
        <v>0</v>
      </c>
      <c r="L75">
        <f>RAW_DATA!L75</f>
        <v>0</v>
      </c>
      <c r="M75">
        <f>H75*I75</f>
        <v>0</v>
      </c>
      <c r="N75">
        <f>ISOWEEKNUM(B75)</f>
        <v>0</v>
      </c>
      <c r="O75">
        <f>TEXT(B75,"mmm")</f>
        <v>0</v>
      </c>
      <c r="P75">
        <f>"Q"&amp;ROUNDUP(MONTH(B75)/3,0)</f>
        <v>0</v>
      </c>
      <c r="Q75">
        <f>IF(J75&gt;=4,"High",IF(J75&gt;=3,"Medium","Low"))</f>
        <v>0</v>
      </c>
      <c r="R75">
        <f>IF(K75&lt;=5,"On Time","Delayed")</f>
        <v>0</v>
      </c>
    </row>
    <row r="76" spans="1:18">
      <c r="A76">
        <f>RAW_DATA!A76</f>
        <v>0</v>
      </c>
      <c r="B76">
        <f>RAW_DATA!B76</f>
        <v>0</v>
      </c>
      <c r="C76">
        <f>RAW_DATA!C76</f>
        <v>0</v>
      </c>
      <c r="D76">
        <f>RAW_DATA!D76</f>
        <v>0</v>
      </c>
      <c r="E76">
        <f>RAW_DATA!E76</f>
        <v>0</v>
      </c>
      <c r="F76">
        <f>RAW_DATA!F76</f>
        <v>0</v>
      </c>
      <c r="G76">
        <f>RAW_DATA!G76</f>
        <v>0</v>
      </c>
      <c r="H76">
        <f>RAW_DATA!H76</f>
        <v>0</v>
      </c>
      <c r="I76">
        <f>RAW_DATA!I76</f>
        <v>0</v>
      </c>
      <c r="J76">
        <f>RAW_DATA!J76</f>
        <v>0</v>
      </c>
      <c r="K76">
        <f>RAW_DATA!K76</f>
        <v>0</v>
      </c>
      <c r="L76">
        <f>RAW_DATA!L76</f>
        <v>0</v>
      </c>
      <c r="M76">
        <f>H76*I76</f>
        <v>0</v>
      </c>
      <c r="N76">
        <f>ISOWEEKNUM(B76)</f>
        <v>0</v>
      </c>
      <c r="O76">
        <f>TEXT(B76,"mmm")</f>
        <v>0</v>
      </c>
      <c r="P76">
        <f>"Q"&amp;ROUNDUP(MONTH(B76)/3,0)</f>
        <v>0</v>
      </c>
      <c r="Q76">
        <f>IF(J76&gt;=4,"High",IF(J76&gt;=3,"Medium","Low"))</f>
        <v>0</v>
      </c>
      <c r="R76">
        <f>IF(K76&lt;=5,"On Time","Delayed")</f>
        <v>0</v>
      </c>
    </row>
    <row r="77" spans="1:18">
      <c r="A77">
        <f>RAW_DATA!A77</f>
        <v>0</v>
      </c>
      <c r="B77">
        <f>RAW_DATA!B77</f>
        <v>0</v>
      </c>
      <c r="C77">
        <f>RAW_DATA!C77</f>
        <v>0</v>
      </c>
      <c r="D77">
        <f>RAW_DATA!D77</f>
        <v>0</v>
      </c>
      <c r="E77">
        <f>RAW_DATA!E77</f>
        <v>0</v>
      </c>
      <c r="F77">
        <f>RAW_DATA!F77</f>
        <v>0</v>
      </c>
      <c r="G77">
        <f>RAW_DATA!G77</f>
        <v>0</v>
      </c>
      <c r="H77">
        <f>RAW_DATA!H77</f>
        <v>0</v>
      </c>
      <c r="I77">
        <f>RAW_DATA!I77</f>
        <v>0</v>
      </c>
      <c r="J77">
        <f>RAW_DATA!J77</f>
        <v>0</v>
      </c>
      <c r="K77">
        <f>RAW_DATA!K77</f>
        <v>0</v>
      </c>
      <c r="L77">
        <f>RAW_DATA!L77</f>
        <v>0</v>
      </c>
      <c r="M77">
        <f>H77*I77</f>
        <v>0</v>
      </c>
      <c r="N77">
        <f>ISOWEEKNUM(B77)</f>
        <v>0</v>
      </c>
      <c r="O77">
        <f>TEXT(B77,"mmm")</f>
        <v>0</v>
      </c>
      <c r="P77">
        <f>"Q"&amp;ROUNDUP(MONTH(B77)/3,0)</f>
        <v>0</v>
      </c>
      <c r="Q77">
        <f>IF(J77&gt;=4,"High",IF(J77&gt;=3,"Medium","Low"))</f>
        <v>0</v>
      </c>
      <c r="R77">
        <f>IF(K77&lt;=5,"On Time","Delayed")</f>
        <v>0</v>
      </c>
    </row>
    <row r="78" spans="1:18">
      <c r="A78">
        <f>RAW_DATA!A78</f>
        <v>0</v>
      </c>
      <c r="B78">
        <f>RAW_DATA!B78</f>
        <v>0</v>
      </c>
      <c r="C78">
        <f>RAW_DATA!C78</f>
        <v>0</v>
      </c>
      <c r="D78">
        <f>RAW_DATA!D78</f>
        <v>0</v>
      </c>
      <c r="E78">
        <f>RAW_DATA!E78</f>
        <v>0</v>
      </c>
      <c r="F78">
        <f>RAW_DATA!F78</f>
        <v>0</v>
      </c>
      <c r="G78">
        <f>RAW_DATA!G78</f>
        <v>0</v>
      </c>
      <c r="H78">
        <f>RAW_DATA!H78</f>
        <v>0</v>
      </c>
      <c r="I78">
        <f>RAW_DATA!I78</f>
        <v>0</v>
      </c>
      <c r="J78">
        <f>RAW_DATA!J78</f>
        <v>0</v>
      </c>
      <c r="K78">
        <f>RAW_DATA!K78</f>
        <v>0</v>
      </c>
      <c r="L78">
        <f>RAW_DATA!L78</f>
        <v>0</v>
      </c>
      <c r="M78">
        <f>H78*I78</f>
        <v>0</v>
      </c>
      <c r="N78">
        <f>ISOWEEKNUM(B78)</f>
        <v>0</v>
      </c>
      <c r="O78">
        <f>TEXT(B78,"mmm")</f>
        <v>0</v>
      </c>
      <c r="P78">
        <f>"Q"&amp;ROUNDUP(MONTH(B78)/3,0)</f>
        <v>0</v>
      </c>
      <c r="Q78">
        <f>IF(J78&gt;=4,"High",IF(J78&gt;=3,"Medium","Low"))</f>
        <v>0</v>
      </c>
      <c r="R78">
        <f>IF(K78&lt;=5,"On Time","Delayed")</f>
        <v>0</v>
      </c>
    </row>
    <row r="79" spans="1:18">
      <c r="A79">
        <f>RAW_DATA!A79</f>
        <v>0</v>
      </c>
      <c r="B79">
        <f>RAW_DATA!B79</f>
        <v>0</v>
      </c>
      <c r="C79">
        <f>RAW_DATA!C79</f>
        <v>0</v>
      </c>
      <c r="D79">
        <f>RAW_DATA!D79</f>
        <v>0</v>
      </c>
      <c r="E79">
        <f>RAW_DATA!E79</f>
        <v>0</v>
      </c>
      <c r="F79">
        <f>RAW_DATA!F79</f>
        <v>0</v>
      </c>
      <c r="G79">
        <f>RAW_DATA!G79</f>
        <v>0</v>
      </c>
      <c r="H79">
        <f>RAW_DATA!H79</f>
        <v>0</v>
      </c>
      <c r="I79">
        <f>RAW_DATA!I79</f>
        <v>0</v>
      </c>
      <c r="J79">
        <f>RAW_DATA!J79</f>
        <v>0</v>
      </c>
      <c r="K79">
        <f>RAW_DATA!K79</f>
        <v>0</v>
      </c>
      <c r="L79">
        <f>RAW_DATA!L79</f>
        <v>0</v>
      </c>
      <c r="M79">
        <f>H79*I79</f>
        <v>0</v>
      </c>
      <c r="N79">
        <f>ISOWEEKNUM(B79)</f>
        <v>0</v>
      </c>
      <c r="O79">
        <f>TEXT(B79,"mmm")</f>
        <v>0</v>
      </c>
      <c r="P79">
        <f>"Q"&amp;ROUNDUP(MONTH(B79)/3,0)</f>
        <v>0</v>
      </c>
      <c r="Q79">
        <f>IF(J79&gt;=4,"High",IF(J79&gt;=3,"Medium","Low"))</f>
        <v>0</v>
      </c>
      <c r="R79">
        <f>IF(K79&lt;=5,"On Time","Delayed")</f>
        <v>0</v>
      </c>
    </row>
    <row r="80" spans="1:18">
      <c r="A80">
        <f>RAW_DATA!A80</f>
        <v>0</v>
      </c>
      <c r="B80">
        <f>RAW_DATA!B80</f>
        <v>0</v>
      </c>
      <c r="C80">
        <f>RAW_DATA!C80</f>
        <v>0</v>
      </c>
      <c r="D80">
        <f>RAW_DATA!D80</f>
        <v>0</v>
      </c>
      <c r="E80">
        <f>RAW_DATA!E80</f>
        <v>0</v>
      </c>
      <c r="F80">
        <f>RAW_DATA!F80</f>
        <v>0</v>
      </c>
      <c r="G80">
        <f>RAW_DATA!G80</f>
        <v>0</v>
      </c>
      <c r="H80">
        <f>RAW_DATA!H80</f>
        <v>0</v>
      </c>
      <c r="I80">
        <f>RAW_DATA!I80</f>
        <v>0</v>
      </c>
      <c r="J80">
        <f>RAW_DATA!J80</f>
        <v>0</v>
      </c>
      <c r="K80">
        <f>RAW_DATA!K80</f>
        <v>0</v>
      </c>
      <c r="L80">
        <f>RAW_DATA!L80</f>
        <v>0</v>
      </c>
      <c r="M80">
        <f>H80*I80</f>
        <v>0</v>
      </c>
      <c r="N80">
        <f>ISOWEEKNUM(B80)</f>
        <v>0</v>
      </c>
      <c r="O80">
        <f>TEXT(B80,"mmm")</f>
        <v>0</v>
      </c>
      <c r="P80">
        <f>"Q"&amp;ROUNDUP(MONTH(B80)/3,0)</f>
        <v>0</v>
      </c>
      <c r="Q80">
        <f>IF(J80&gt;=4,"High",IF(J80&gt;=3,"Medium","Low"))</f>
        <v>0</v>
      </c>
      <c r="R80">
        <f>IF(K80&lt;=5,"On Time","Delayed")</f>
        <v>0</v>
      </c>
    </row>
    <row r="81" spans="1:18">
      <c r="A81">
        <f>RAW_DATA!A81</f>
        <v>0</v>
      </c>
      <c r="B81">
        <f>RAW_DATA!B81</f>
        <v>0</v>
      </c>
      <c r="C81">
        <f>RAW_DATA!C81</f>
        <v>0</v>
      </c>
      <c r="D81">
        <f>RAW_DATA!D81</f>
        <v>0</v>
      </c>
      <c r="E81">
        <f>RAW_DATA!E81</f>
        <v>0</v>
      </c>
      <c r="F81">
        <f>RAW_DATA!F81</f>
        <v>0</v>
      </c>
      <c r="G81">
        <f>RAW_DATA!G81</f>
        <v>0</v>
      </c>
      <c r="H81">
        <f>RAW_DATA!H81</f>
        <v>0</v>
      </c>
      <c r="I81">
        <f>RAW_DATA!I81</f>
        <v>0</v>
      </c>
      <c r="J81">
        <f>RAW_DATA!J81</f>
        <v>0</v>
      </c>
      <c r="K81">
        <f>RAW_DATA!K81</f>
        <v>0</v>
      </c>
      <c r="L81">
        <f>RAW_DATA!L81</f>
        <v>0</v>
      </c>
      <c r="M81">
        <f>H81*I81</f>
        <v>0</v>
      </c>
      <c r="N81">
        <f>ISOWEEKNUM(B81)</f>
        <v>0</v>
      </c>
      <c r="O81">
        <f>TEXT(B81,"mmm")</f>
        <v>0</v>
      </c>
      <c r="P81">
        <f>"Q"&amp;ROUNDUP(MONTH(B81)/3,0)</f>
        <v>0</v>
      </c>
      <c r="Q81">
        <f>IF(J81&gt;=4,"High",IF(J81&gt;=3,"Medium","Low"))</f>
        <v>0</v>
      </c>
      <c r="R81">
        <f>IF(K81&lt;=5,"On Time","Delayed")</f>
        <v>0</v>
      </c>
    </row>
    <row r="82" spans="1:18">
      <c r="A82">
        <f>RAW_DATA!A82</f>
        <v>0</v>
      </c>
      <c r="B82">
        <f>RAW_DATA!B82</f>
        <v>0</v>
      </c>
      <c r="C82">
        <f>RAW_DATA!C82</f>
        <v>0</v>
      </c>
      <c r="D82">
        <f>RAW_DATA!D82</f>
        <v>0</v>
      </c>
      <c r="E82">
        <f>RAW_DATA!E82</f>
        <v>0</v>
      </c>
      <c r="F82">
        <f>RAW_DATA!F82</f>
        <v>0</v>
      </c>
      <c r="G82">
        <f>RAW_DATA!G82</f>
        <v>0</v>
      </c>
      <c r="H82">
        <f>RAW_DATA!H82</f>
        <v>0</v>
      </c>
      <c r="I82">
        <f>RAW_DATA!I82</f>
        <v>0</v>
      </c>
      <c r="J82">
        <f>RAW_DATA!J82</f>
        <v>0</v>
      </c>
      <c r="K82">
        <f>RAW_DATA!K82</f>
        <v>0</v>
      </c>
      <c r="L82">
        <f>RAW_DATA!L82</f>
        <v>0</v>
      </c>
      <c r="M82">
        <f>H82*I82</f>
        <v>0</v>
      </c>
      <c r="N82">
        <f>ISOWEEKNUM(B82)</f>
        <v>0</v>
      </c>
      <c r="O82">
        <f>TEXT(B82,"mmm")</f>
        <v>0</v>
      </c>
      <c r="P82">
        <f>"Q"&amp;ROUNDUP(MONTH(B82)/3,0)</f>
        <v>0</v>
      </c>
      <c r="Q82">
        <f>IF(J82&gt;=4,"High",IF(J82&gt;=3,"Medium","Low"))</f>
        <v>0</v>
      </c>
      <c r="R82">
        <f>IF(K82&lt;=5,"On Time","Delayed")</f>
        <v>0</v>
      </c>
    </row>
    <row r="83" spans="1:18">
      <c r="A83">
        <f>RAW_DATA!A83</f>
        <v>0</v>
      </c>
      <c r="B83">
        <f>RAW_DATA!B83</f>
        <v>0</v>
      </c>
      <c r="C83">
        <f>RAW_DATA!C83</f>
        <v>0</v>
      </c>
      <c r="D83">
        <f>RAW_DATA!D83</f>
        <v>0</v>
      </c>
      <c r="E83">
        <f>RAW_DATA!E83</f>
        <v>0</v>
      </c>
      <c r="F83">
        <f>RAW_DATA!F83</f>
        <v>0</v>
      </c>
      <c r="G83">
        <f>RAW_DATA!G83</f>
        <v>0</v>
      </c>
      <c r="H83">
        <f>RAW_DATA!H83</f>
        <v>0</v>
      </c>
      <c r="I83">
        <f>RAW_DATA!I83</f>
        <v>0</v>
      </c>
      <c r="J83">
        <f>RAW_DATA!J83</f>
        <v>0</v>
      </c>
      <c r="K83">
        <f>RAW_DATA!K83</f>
        <v>0</v>
      </c>
      <c r="L83">
        <f>RAW_DATA!L83</f>
        <v>0</v>
      </c>
      <c r="M83">
        <f>H83*I83</f>
        <v>0</v>
      </c>
      <c r="N83">
        <f>ISOWEEKNUM(B83)</f>
        <v>0</v>
      </c>
      <c r="O83">
        <f>TEXT(B83,"mmm")</f>
        <v>0</v>
      </c>
      <c r="P83">
        <f>"Q"&amp;ROUNDUP(MONTH(B83)/3,0)</f>
        <v>0</v>
      </c>
      <c r="Q83">
        <f>IF(J83&gt;=4,"High",IF(J83&gt;=3,"Medium","Low"))</f>
        <v>0</v>
      </c>
      <c r="R83">
        <f>IF(K83&lt;=5,"On Time","Delayed")</f>
        <v>0</v>
      </c>
    </row>
    <row r="84" spans="1:18">
      <c r="A84">
        <f>RAW_DATA!A84</f>
        <v>0</v>
      </c>
      <c r="B84">
        <f>RAW_DATA!B84</f>
        <v>0</v>
      </c>
      <c r="C84">
        <f>RAW_DATA!C84</f>
        <v>0</v>
      </c>
      <c r="D84">
        <f>RAW_DATA!D84</f>
        <v>0</v>
      </c>
      <c r="E84">
        <f>RAW_DATA!E84</f>
        <v>0</v>
      </c>
      <c r="F84">
        <f>RAW_DATA!F84</f>
        <v>0</v>
      </c>
      <c r="G84">
        <f>RAW_DATA!G84</f>
        <v>0</v>
      </c>
      <c r="H84">
        <f>RAW_DATA!H84</f>
        <v>0</v>
      </c>
      <c r="I84">
        <f>RAW_DATA!I84</f>
        <v>0</v>
      </c>
      <c r="J84">
        <f>RAW_DATA!J84</f>
        <v>0</v>
      </c>
      <c r="K84">
        <f>RAW_DATA!K84</f>
        <v>0</v>
      </c>
      <c r="L84">
        <f>RAW_DATA!L84</f>
        <v>0</v>
      </c>
      <c r="M84">
        <f>H84*I84</f>
        <v>0</v>
      </c>
      <c r="N84">
        <f>ISOWEEKNUM(B84)</f>
        <v>0</v>
      </c>
      <c r="O84">
        <f>TEXT(B84,"mmm")</f>
        <v>0</v>
      </c>
      <c r="P84">
        <f>"Q"&amp;ROUNDUP(MONTH(B84)/3,0)</f>
        <v>0</v>
      </c>
      <c r="Q84">
        <f>IF(J84&gt;=4,"High",IF(J84&gt;=3,"Medium","Low"))</f>
        <v>0</v>
      </c>
      <c r="R84">
        <f>IF(K84&lt;=5,"On Time","Delayed")</f>
        <v>0</v>
      </c>
    </row>
    <row r="85" spans="1:18">
      <c r="A85">
        <f>RAW_DATA!A85</f>
        <v>0</v>
      </c>
      <c r="B85">
        <f>RAW_DATA!B85</f>
        <v>0</v>
      </c>
      <c r="C85">
        <f>RAW_DATA!C85</f>
        <v>0</v>
      </c>
      <c r="D85">
        <f>RAW_DATA!D85</f>
        <v>0</v>
      </c>
      <c r="E85">
        <f>RAW_DATA!E85</f>
        <v>0</v>
      </c>
      <c r="F85">
        <f>RAW_DATA!F85</f>
        <v>0</v>
      </c>
      <c r="G85">
        <f>RAW_DATA!G85</f>
        <v>0</v>
      </c>
      <c r="H85">
        <f>RAW_DATA!H85</f>
        <v>0</v>
      </c>
      <c r="I85">
        <f>RAW_DATA!I85</f>
        <v>0</v>
      </c>
      <c r="J85">
        <f>RAW_DATA!J85</f>
        <v>0</v>
      </c>
      <c r="K85">
        <f>RAW_DATA!K85</f>
        <v>0</v>
      </c>
      <c r="L85">
        <f>RAW_DATA!L85</f>
        <v>0</v>
      </c>
      <c r="M85">
        <f>H85*I85</f>
        <v>0</v>
      </c>
      <c r="N85">
        <f>ISOWEEKNUM(B85)</f>
        <v>0</v>
      </c>
      <c r="O85">
        <f>TEXT(B85,"mmm")</f>
        <v>0</v>
      </c>
      <c r="P85">
        <f>"Q"&amp;ROUNDUP(MONTH(B85)/3,0)</f>
        <v>0</v>
      </c>
      <c r="Q85">
        <f>IF(J85&gt;=4,"High",IF(J85&gt;=3,"Medium","Low"))</f>
        <v>0</v>
      </c>
      <c r="R85">
        <f>IF(K85&lt;=5,"On Time","Delayed")</f>
        <v>0</v>
      </c>
    </row>
    <row r="86" spans="1:18">
      <c r="A86">
        <f>RAW_DATA!A86</f>
        <v>0</v>
      </c>
      <c r="B86">
        <f>RAW_DATA!B86</f>
        <v>0</v>
      </c>
      <c r="C86">
        <f>RAW_DATA!C86</f>
        <v>0</v>
      </c>
      <c r="D86">
        <f>RAW_DATA!D86</f>
        <v>0</v>
      </c>
      <c r="E86">
        <f>RAW_DATA!E86</f>
        <v>0</v>
      </c>
      <c r="F86">
        <f>RAW_DATA!F86</f>
        <v>0</v>
      </c>
      <c r="G86">
        <f>RAW_DATA!G86</f>
        <v>0</v>
      </c>
      <c r="H86">
        <f>RAW_DATA!H86</f>
        <v>0</v>
      </c>
      <c r="I86">
        <f>RAW_DATA!I86</f>
        <v>0</v>
      </c>
      <c r="J86">
        <f>RAW_DATA!J86</f>
        <v>0</v>
      </c>
      <c r="K86">
        <f>RAW_DATA!K86</f>
        <v>0</v>
      </c>
      <c r="L86">
        <f>RAW_DATA!L86</f>
        <v>0</v>
      </c>
      <c r="M86">
        <f>H86*I86</f>
        <v>0</v>
      </c>
      <c r="N86">
        <f>ISOWEEKNUM(B86)</f>
        <v>0</v>
      </c>
      <c r="O86">
        <f>TEXT(B86,"mmm")</f>
        <v>0</v>
      </c>
      <c r="P86">
        <f>"Q"&amp;ROUNDUP(MONTH(B86)/3,0)</f>
        <v>0</v>
      </c>
      <c r="Q86">
        <f>IF(J86&gt;=4,"High",IF(J86&gt;=3,"Medium","Low"))</f>
        <v>0</v>
      </c>
      <c r="R86">
        <f>IF(K86&lt;=5,"On Time","Delayed")</f>
        <v>0</v>
      </c>
    </row>
    <row r="87" spans="1:18">
      <c r="A87">
        <f>RAW_DATA!A87</f>
        <v>0</v>
      </c>
      <c r="B87">
        <f>RAW_DATA!B87</f>
        <v>0</v>
      </c>
      <c r="C87">
        <f>RAW_DATA!C87</f>
        <v>0</v>
      </c>
      <c r="D87">
        <f>RAW_DATA!D87</f>
        <v>0</v>
      </c>
      <c r="E87">
        <f>RAW_DATA!E87</f>
        <v>0</v>
      </c>
      <c r="F87">
        <f>RAW_DATA!F87</f>
        <v>0</v>
      </c>
      <c r="G87">
        <f>RAW_DATA!G87</f>
        <v>0</v>
      </c>
      <c r="H87">
        <f>RAW_DATA!H87</f>
        <v>0</v>
      </c>
      <c r="I87">
        <f>RAW_DATA!I87</f>
        <v>0</v>
      </c>
      <c r="J87">
        <f>RAW_DATA!J87</f>
        <v>0</v>
      </c>
      <c r="K87">
        <f>RAW_DATA!K87</f>
        <v>0</v>
      </c>
      <c r="L87">
        <f>RAW_DATA!L87</f>
        <v>0</v>
      </c>
      <c r="M87">
        <f>H87*I87</f>
        <v>0</v>
      </c>
      <c r="N87">
        <f>ISOWEEKNUM(B87)</f>
        <v>0</v>
      </c>
      <c r="O87">
        <f>TEXT(B87,"mmm")</f>
        <v>0</v>
      </c>
      <c r="P87">
        <f>"Q"&amp;ROUNDUP(MONTH(B87)/3,0)</f>
        <v>0</v>
      </c>
      <c r="Q87">
        <f>IF(J87&gt;=4,"High",IF(J87&gt;=3,"Medium","Low"))</f>
        <v>0</v>
      </c>
      <c r="R87">
        <f>IF(K87&lt;=5,"On Time","Delayed")</f>
        <v>0</v>
      </c>
    </row>
    <row r="88" spans="1:18">
      <c r="A88">
        <f>RAW_DATA!A88</f>
        <v>0</v>
      </c>
      <c r="B88">
        <f>RAW_DATA!B88</f>
        <v>0</v>
      </c>
      <c r="C88">
        <f>RAW_DATA!C88</f>
        <v>0</v>
      </c>
      <c r="D88">
        <f>RAW_DATA!D88</f>
        <v>0</v>
      </c>
      <c r="E88">
        <f>RAW_DATA!E88</f>
        <v>0</v>
      </c>
      <c r="F88">
        <f>RAW_DATA!F88</f>
        <v>0</v>
      </c>
      <c r="G88">
        <f>RAW_DATA!G88</f>
        <v>0</v>
      </c>
      <c r="H88">
        <f>RAW_DATA!H88</f>
        <v>0</v>
      </c>
      <c r="I88">
        <f>RAW_DATA!I88</f>
        <v>0</v>
      </c>
      <c r="J88">
        <f>RAW_DATA!J88</f>
        <v>0</v>
      </c>
      <c r="K88">
        <f>RAW_DATA!K88</f>
        <v>0</v>
      </c>
      <c r="L88">
        <f>RAW_DATA!L88</f>
        <v>0</v>
      </c>
      <c r="M88">
        <f>H88*I88</f>
        <v>0</v>
      </c>
      <c r="N88">
        <f>ISOWEEKNUM(B88)</f>
        <v>0</v>
      </c>
      <c r="O88">
        <f>TEXT(B88,"mmm")</f>
        <v>0</v>
      </c>
      <c r="P88">
        <f>"Q"&amp;ROUNDUP(MONTH(B88)/3,0)</f>
        <v>0</v>
      </c>
      <c r="Q88">
        <f>IF(J88&gt;=4,"High",IF(J88&gt;=3,"Medium","Low"))</f>
        <v>0</v>
      </c>
      <c r="R88">
        <f>IF(K88&lt;=5,"On Time","Delayed")</f>
        <v>0</v>
      </c>
    </row>
    <row r="89" spans="1:18">
      <c r="A89">
        <f>RAW_DATA!A89</f>
        <v>0</v>
      </c>
      <c r="B89">
        <f>RAW_DATA!B89</f>
        <v>0</v>
      </c>
      <c r="C89">
        <f>RAW_DATA!C89</f>
        <v>0</v>
      </c>
      <c r="D89">
        <f>RAW_DATA!D89</f>
        <v>0</v>
      </c>
      <c r="E89">
        <f>RAW_DATA!E89</f>
        <v>0</v>
      </c>
      <c r="F89">
        <f>RAW_DATA!F89</f>
        <v>0</v>
      </c>
      <c r="G89">
        <f>RAW_DATA!G89</f>
        <v>0</v>
      </c>
      <c r="H89">
        <f>RAW_DATA!H89</f>
        <v>0</v>
      </c>
      <c r="I89">
        <f>RAW_DATA!I89</f>
        <v>0</v>
      </c>
      <c r="J89">
        <f>RAW_DATA!J89</f>
        <v>0</v>
      </c>
      <c r="K89">
        <f>RAW_DATA!K89</f>
        <v>0</v>
      </c>
      <c r="L89">
        <f>RAW_DATA!L89</f>
        <v>0</v>
      </c>
      <c r="M89">
        <f>H89*I89</f>
        <v>0</v>
      </c>
      <c r="N89">
        <f>ISOWEEKNUM(B89)</f>
        <v>0</v>
      </c>
      <c r="O89">
        <f>TEXT(B89,"mmm")</f>
        <v>0</v>
      </c>
      <c r="P89">
        <f>"Q"&amp;ROUNDUP(MONTH(B89)/3,0)</f>
        <v>0</v>
      </c>
      <c r="Q89">
        <f>IF(J89&gt;=4,"High",IF(J89&gt;=3,"Medium","Low"))</f>
        <v>0</v>
      </c>
      <c r="R89">
        <f>IF(K89&lt;=5,"On Time","Delayed")</f>
        <v>0</v>
      </c>
    </row>
    <row r="90" spans="1:18">
      <c r="A90">
        <f>RAW_DATA!A90</f>
        <v>0</v>
      </c>
      <c r="B90">
        <f>RAW_DATA!B90</f>
        <v>0</v>
      </c>
      <c r="C90">
        <f>RAW_DATA!C90</f>
        <v>0</v>
      </c>
      <c r="D90">
        <f>RAW_DATA!D90</f>
        <v>0</v>
      </c>
      <c r="E90">
        <f>RAW_DATA!E90</f>
        <v>0</v>
      </c>
      <c r="F90">
        <f>RAW_DATA!F90</f>
        <v>0</v>
      </c>
      <c r="G90">
        <f>RAW_DATA!G90</f>
        <v>0</v>
      </c>
      <c r="H90">
        <f>RAW_DATA!H90</f>
        <v>0</v>
      </c>
      <c r="I90">
        <f>RAW_DATA!I90</f>
        <v>0</v>
      </c>
      <c r="J90">
        <f>RAW_DATA!J90</f>
        <v>0</v>
      </c>
      <c r="K90">
        <f>RAW_DATA!K90</f>
        <v>0</v>
      </c>
      <c r="L90">
        <f>RAW_DATA!L90</f>
        <v>0</v>
      </c>
      <c r="M90">
        <f>H90*I90</f>
        <v>0</v>
      </c>
      <c r="N90">
        <f>ISOWEEKNUM(B90)</f>
        <v>0</v>
      </c>
      <c r="O90">
        <f>TEXT(B90,"mmm")</f>
        <v>0</v>
      </c>
      <c r="P90">
        <f>"Q"&amp;ROUNDUP(MONTH(B90)/3,0)</f>
        <v>0</v>
      </c>
      <c r="Q90">
        <f>IF(J90&gt;=4,"High",IF(J90&gt;=3,"Medium","Low"))</f>
        <v>0</v>
      </c>
      <c r="R90">
        <f>IF(K90&lt;=5,"On Time","Delayed")</f>
        <v>0</v>
      </c>
    </row>
    <row r="91" spans="1:18">
      <c r="A91">
        <f>RAW_DATA!A91</f>
        <v>0</v>
      </c>
      <c r="B91">
        <f>RAW_DATA!B91</f>
        <v>0</v>
      </c>
      <c r="C91">
        <f>RAW_DATA!C91</f>
        <v>0</v>
      </c>
      <c r="D91">
        <f>RAW_DATA!D91</f>
        <v>0</v>
      </c>
      <c r="E91">
        <f>RAW_DATA!E91</f>
        <v>0</v>
      </c>
      <c r="F91">
        <f>RAW_DATA!F91</f>
        <v>0</v>
      </c>
      <c r="G91">
        <f>RAW_DATA!G91</f>
        <v>0</v>
      </c>
      <c r="H91">
        <f>RAW_DATA!H91</f>
        <v>0</v>
      </c>
      <c r="I91">
        <f>RAW_DATA!I91</f>
        <v>0</v>
      </c>
      <c r="J91">
        <f>RAW_DATA!J91</f>
        <v>0</v>
      </c>
      <c r="K91">
        <f>RAW_DATA!K91</f>
        <v>0</v>
      </c>
      <c r="L91">
        <f>RAW_DATA!L91</f>
        <v>0</v>
      </c>
      <c r="M91">
        <f>H91*I91</f>
        <v>0</v>
      </c>
      <c r="N91">
        <f>ISOWEEKNUM(B91)</f>
        <v>0</v>
      </c>
      <c r="O91">
        <f>TEXT(B91,"mmm")</f>
        <v>0</v>
      </c>
      <c r="P91">
        <f>"Q"&amp;ROUNDUP(MONTH(B91)/3,0)</f>
        <v>0</v>
      </c>
      <c r="Q91">
        <f>IF(J91&gt;=4,"High",IF(J91&gt;=3,"Medium","Low"))</f>
        <v>0</v>
      </c>
      <c r="R91">
        <f>IF(K91&lt;=5,"On Time","Delayed")</f>
        <v>0</v>
      </c>
    </row>
    <row r="92" spans="1:18">
      <c r="A92">
        <f>RAW_DATA!A92</f>
        <v>0</v>
      </c>
      <c r="B92">
        <f>RAW_DATA!B92</f>
        <v>0</v>
      </c>
      <c r="C92">
        <f>RAW_DATA!C92</f>
        <v>0</v>
      </c>
      <c r="D92">
        <f>RAW_DATA!D92</f>
        <v>0</v>
      </c>
      <c r="E92">
        <f>RAW_DATA!E92</f>
        <v>0</v>
      </c>
      <c r="F92">
        <f>RAW_DATA!F92</f>
        <v>0</v>
      </c>
      <c r="G92">
        <f>RAW_DATA!G92</f>
        <v>0</v>
      </c>
      <c r="H92">
        <f>RAW_DATA!H92</f>
        <v>0</v>
      </c>
      <c r="I92">
        <f>RAW_DATA!I92</f>
        <v>0</v>
      </c>
      <c r="J92">
        <f>RAW_DATA!J92</f>
        <v>0</v>
      </c>
      <c r="K92">
        <f>RAW_DATA!K92</f>
        <v>0</v>
      </c>
      <c r="L92">
        <f>RAW_DATA!L92</f>
        <v>0</v>
      </c>
      <c r="M92">
        <f>H92*I92</f>
        <v>0</v>
      </c>
      <c r="N92">
        <f>ISOWEEKNUM(B92)</f>
        <v>0</v>
      </c>
      <c r="O92">
        <f>TEXT(B92,"mmm")</f>
        <v>0</v>
      </c>
      <c r="P92">
        <f>"Q"&amp;ROUNDUP(MONTH(B92)/3,0)</f>
        <v>0</v>
      </c>
      <c r="Q92">
        <f>IF(J92&gt;=4,"High",IF(J92&gt;=3,"Medium","Low"))</f>
        <v>0</v>
      </c>
      <c r="R92">
        <f>IF(K92&lt;=5,"On Time","Delayed")</f>
        <v>0</v>
      </c>
    </row>
    <row r="93" spans="1:18">
      <c r="A93">
        <f>RAW_DATA!A93</f>
        <v>0</v>
      </c>
      <c r="B93">
        <f>RAW_DATA!B93</f>
        <v>0</v>
      </c>
      <c r="C93">
        <f>RAW_DATA!C93</f>
        <v>0</v>
      </c>
      <c r="D93">
        <f>RAW_DATA!D93</f>
        <v>0</v>
      </c>
      <c r="E93">
        <f>RAW_DATA!E93</f>
        <v>0</v>
      </c>
      <c r="F93">
        <f>RAW_DATA!F93</f>
        <v>0</v>
      </c>
      <c r="G93">
        <f>RAW_DATA!G93</f>
        <v>0</v>
      </c>
      <c r="H93">
        <f>RAW_DATA!H93</f>
        <v>0</v>
      </c>
      <c r="I93">
        <f>RAW_DATA!I93</f>
        <v>0</v>
      </c>
      <c r="J93">
        <f>RAW_DATA!J93</f>
        <v>0</v>
      </c>
      <c r="K93">
        <f>RAW_DATA!K93</f>
        <v>0</v>
      </c>
      <c r="L93">
        <f>RAW_DATA!L93</f>
        <v>0</v>
      </c>
      <c r="M93">
        <f>H93*I93</f>
        <v>0</v>
      </c>
      <c r="N93">
        <f>ISOWEEKNUM(B93)</f>
        <v>0</v>
      </c>
      <c r="O93">
        <f>TEXT(B93,"mmm")</f>
        <v>0</v>
      </c>
      <c r="P93">
        <f>"Q"&amp;ROUNDUP(MONTH(B93)/3,0)</f>
        <v>0</v>
      </c>
      <c r="Q93">
        <f>IF(J93&gt;=4,"High",IF(J93&gt;=3,"Medium","Low"))</f>
        <v>0</v>
      </c>
      <c r="R93">
        <f>IF(K93&lt;=5,"On Time","Delayed")</f>
        <v>0</v>
      </c>
    </row>
    <row r="94" spans="1:18">
      <c r="A94">
        <f>RAW_DATA!A94</f>
        <v>0</v>
      </c>
      <c r="B94">
        <f>RAW_DATA!B94</f>
        <v>0</v>
      </c>
      <c r="C94">
        <f>RAW_DATA!C94</f>
        <v>0</v>
      </c>
      <c r="D94">
        <f>RAW_DATA!D94</f>
        <v>0</v>
      </c>
      <c r="E94">
        <f>RAW_DATA!E94</f>
        <v>0</v>
      </c>
      <c r="F94">
        <f>RAW_DATA!F94</f>
        <v>0</v>
      </c>
      <c r="G94">
        <f>RAW_DATA!G94</f>
        <v>0</v>
      </c>
      <c r="H94">
        <f>RAW_DATA!H94</f>
        <v>0</v>
      </c>
      <c r="I94">
        <f>RAW_DATA!I94</f>
        <v>0</v>
      </c>
      <c r="J94">
        <f>RAW_DATA!J94</f>
        <v>0</v>
      </c>
      <c r="K94">
        <f>RAW_DATA!K94</f>
        <v>0</v>
      </c>
      <c r="L94">
        <f>RAW_DATA!L94</f>
        <v>0</v>
      </c>
      <c r="M94">
        <f>H94*I94</f>
        <v>0</v>
      </c>
      <c r="N94">
        <f>ISOWEEKNUM(B94)</f>
        <v>0</v>
      </c>
      <c r="O94">
        <f>TEXT(B94,"mmm")</f>
        <v>0</v>
      </c>
      <c r="P94">
        <f>"Q"&amp;ROUNDUP(MONTH(B94)/3,0)</f>
        <v>0</v>
      </c>
      <c r="Q94">
        <f>IF(J94&gt;=4,"High",IF(J94&gt;=3,"Medium","Low"))</f>
        <v>0</v>
      </c>
      <c r="R94">
        <f>IF(K94&lt;=5,"On Time","Delayed")</f>
        <v>0</v>
      </c>
    </row>
    <row r="95" spans="1:18">
      <c r="A95">
        <f>RAW_DATA!A95</f>
        <v>0</v>
      </c>
      <c r="B95">
        <f>RAW_DATA!B95</f>
        <v>0</v>
      </c>
      <c r="C95">
        <f>RAW_DATA!C95</f>
        <v>0</v>
      </c>
      <c r="D95">
        <f>RAW_DATA!D95</f>
        <v>0</v>
      </c>
      <c r="E95">
        <f>RAW_DATA!E95</f>
        <v>0</v>
      </c>
      <c r="F95">
        <f>RAW_DATA!F95</f>
        <v>0</v>
      </c>
      <c r="G95">
        <f>RAW_DATA!G95</f>
        <v>0</v>
      </c>
      <c r="H95">
        <f>RAW_DATA!H95</f>
        <v>0</v>
      </c>
      <c r="I95">
        <f>RAW_DATA!I95</f>
        <v>0</v>
      </c>
      <c r="J95">
        <f>RAW_DATA!J95</f>
        <v>0</v>
      </c>
      <c r="K95">
        <f>RAW_DATA!K95</f>
        <v>0</v>
      </c>
      <c r="L95">
        <f>RAW_DATA!L95</f>
        <v>0</v>
      </c>
      <c r="M95">
        <f>H95*I95</f>
        <v>0</v>
      </c>
      <c r="N95">
        <f>ISOWEEKNUM(B95)</f>
        <v>0</v>
      </c>
      <c r="O95">
        <f>TEXT(B95,"mmm")</f>
        <v>0</v>
      </c>
      <c r="P95">
        <f>"Q"&amp;ROUNDUP(MONTH(B95)/3,0)</f>
        <v>0</v>
      </c>
      <c r="Q95">
        <f>IF(J95&gt;=4,"High",IF(J95&gt;=3,"Medium","Low"))</f>
        <v>0</v>
      </c>
      <c r="R95">
        <f>IF(K95&lt;=5,"On Time","Delayed")</f>
        <v>0</v>
      </c>
    </row>
    <row r="96" spans="1:18">
      <c r="A96">
        <f>RAW_DATA!A96</f>
        <v>0</v>
      </c>
      <c r="B96">
        <f>RAW_DATA!B96</f>
        <v>0</v>
      </c>
      <c r="C96">
        <f>RAW_DATA!C96</f>
        <v>0</v>
      </c>
      <c r="D96">
        <f>RAW_DATA!D96</f>
        <v>0</v>
      </c>
      <c r="E96">
        <f>RAW_DATA!E96</f>
        <v>0</v>
      </c>
      <c r="F96">
        <f>RAW_DATA!F96</f>
        <v>0</v>
      </c>
      <c r="G96">
        <f>RAW_DATA!G96</f>
        <v>0</v>
      </c>
      <c r="H96">
        <f>RAW_DATA!H96</f>
        <v>0</v>
      </c>
      <c r="I96">
        <f>RAW_DATA!I96</f>
        <v>0</v>
      </c>
      <c r="J96">
        <f>RAW_DATA!J96</f>
        <v>0</v>
      </c>
      <c r="K96">
        <f>RAW_DATA!K96</f>
        <v>0</v>
      </c>
      <c r="L96">
        <f>RAW_DATA!L96</f>
        <v>0</v>
      </c>
      <c r="M96">
        <f>H96*I96</f>
        <v>0</v>
      </c>
      <c r="N96">
        <f>ISOWEEKNUM(B96)</f>
        <v>0</v>
      </c>
      <c r="O96">
        <f>TEXT(B96,"mmm")</f>
        <v>0</v>
      </c>
      <c r="P96">
        <f>"Q"&amp;ROUNDUP(MONTH(B96)/3,0)</f>
        <v>0</v>
      </c>
      <c r="Q96">
        <f>IF(J96&gt;=4,"High",IF(J96&gt;=3,"Medium","Low"))</f>
        <v>0</v>
      </c>
      <c r="R96">
        <f>IF(K96&lt;=5,"On Time","Delayed")</f>
        <v>0</v>
      </c>
    </row>
    <row r="97" spans="1:18">
      <c r="A97">
        <f>RAW_DATA!A97</f>
        <v>0</v>
      </c>
      <c r="B97">
        <f>RAW_DATA!B97</f>
        <v>0</v>
      </c>
      <c r="C97">
        <f>RAW_DATA!C97</f>
        <v>0</v>
      </c>
      <c r="D97">
        <f>RAW_DATA!D97</f>
        <v>0</v>
      </c>
      <c r="E97">
        <f>RAW_DATA!E97</f>
        <v>0</v>
      </c>
      <c r="F97">
        <f>RAW_DATA!F97</f>
        <v>0</v>
      </c>
      <c r="G97">
        <f>RAW_DATA!G97</f>
        <v>0</v>
      </c>
      <c r="H97">
        <f>RAW_DATA!H97</f>
        <v>0</v>
      </c>
      <c r="I97">
        <f>RAW_DATA!I97</f>
        <v>0</v>
      </c>
      <c r="J97">
        <f>RAW_DATA!J97</f>
        <v>0</v>
      </c>
      <c r="K97">
        <f>RAW_DATA!K97</f>
        <v>0</v>
      </c>
      <c r="L97">
        <f>RAW_DATA!L97</f>
        <v>0</v>
      </c>
      <c r="M97">
        <f>H97*I97</f>
        <v>0</v>
      </c>
      <c r="N97">
        <f>ISOWEEKNUM(B97)</f>
        <v>0</v>
      </c>
      <c r="O97">
        <f>TEXT(B97,"mmm")</f>
        <v>0</v>
      </c>
      <c r="P97">
        <f>"Q"&amp;ROUNDUP(MONTH(B97)/3,0)</f>
        <v>0</v>
      </c>
      <c r="Q97">
        <f>IF(J97&gt;=4,"High",IF(J97&gt;=3,"Medium","Low"))</f>
        <v>0</v>
      </c>
      <c r="R97">
        <f>IF(K97&lt;=5,"On Time","Delayed")</f>
        <v>0</v>
      </c>
    </row>
    <row r="98" spans="1:18">
      <c r="A98">
        <f>RAW_DATA!A98</f>
        <v>0</v>
      </c>
      <c r="B98">
        <f>RAW_DATA!B98</f>
        <v>0</v>
      </c>
      <c r="C98">
        <f>RAW_DATA!C98</f>
        <v>0</v>
      </c>
      <c r="D98">
        <f>RAW_DATA!D98</f>
        <v>0</v>
      </c>
      <c r="E98">
        <f>RAW_DATA!E98</f>
        <v>0</v>
      </c>
      <c r="F98">
        <f>RAW_DATA!F98</f>
        <v>0</v>
      </c>
      <c r="G98">
        <f>RAW_DATA!G98</f>
        <v>0</v>
      </c>
      <c r="H98">
        <f>RAW_DATA!H98</f>
        <v>0</v>
      </c>
      <c r="I98">
        <f>RAW_DATA!I98</f>
        <v>0</v>
      </c>
      <c r="J98">
        <f>RAW_DATA!J98</f>
        <v>0</v>
      </c>
      <c r="K98">
        <f>RAW_DATA!K98</f>
        <v>0</v>
      </c>
      <c r="L98">
        <f>RAW_DATA!L98</f>
        <v>0</v>
      </c>
      <c r="M98">
        <f>H98*I98</f>
        <v>0</v>
      </c>
      <c r="N98">
        <f>ISOWEEKNUM(B98)</f>
        <v>0</v>
      </c>
      <c r="O98">
        <f>TEXT(B98,"mmm")</f>
        <v>0</v>
      </c>
      <c r="P98">
        <f>"Q"&amp;ROUNDUP(MONTH(B98)/3,0)</f>
        <v>0</v>
      </c>
      <c r="Q98">
        <f>IF(J98&gt;=4,"High",IF(J98&gt;=3,"Medium","Low"))</f>
        <v>0</v>
      </c>
      <c r="R98">
        <f>IF(K98&lt;=5,"On Time","Delayed")</f>
        <v>0</v>
      </c>
    </row>
    <row r="99" spans="1:18">
      <c r="A99">
        <f>RAW_DATA!A99</f>
        <v>0</v>
      </c>
      <c r="B99">
        <f>RAW_DATA!B99</f>
        <v>0</v>
      </c>
      <c r="C99">
        <f>RAW_DATA!C99</f>
        <v>0</v>
      </c>
      <c r="D99">
        <f>RAW_DATA!D99</f>
        <v>0</v>
      </c>
      <c r="E99">
        <f>RAW_DATA!E99</f>
        <v>0</v>
      </c>
      <c r="F99">
        <f>RAW_DATA!F99</f>
        <v>0</v>
      </c>
      <c r="G99">
        <f>RAW_DATA!G99</f>
        <v>0</v>
      </c>
      <c r="H99">
        <f>RAW_DATA!H99</f>
        <v>0</v>
      </c>
      <c r="I99">
        <f>RAW_DATA!I99</f>
        <v>0</v>
      </c>
      <c r="J99">
        <f>RAW_DATA!J99</f>
        <v>0</v>
      </c>
      <c r="K99">
        <f>RAW_DATA!K99</f>
        <v>0</v>
      </c>
      <c r="L99">
        <f>RAW_DATA!L99</f>
        <v>0</v>
      </c>
      <c r="M99">
        <f>H99*I99</f>
        <v>0</v>
      </c>
      <c r="N99">
        <f>ISOWEEKNUM(B99)</f>
        <v>0</v>
      </c>
      <c r="O99">
        <f>TEXT(B99,"mmm")</f>
        <v>0</v>
      </c>
      <c r="P99">
        <f>"Q"&amp;ROUNDUP(MONTH(B99)/3,0)</f>
        <v>0</v>
      </c>
      <c r="Q99">
        <f>IF(J99&gt;=4,"High",IF(J99&gt;=3,"Medium","Low"))</f>
        <v>0</v>
      </c>
      <c r="R99">
        <f>IF(K99&lt;=5,"On Time","Delayed")</f>
        <v>0</v>
      </c>
    </row>
    <row r="100" spans="1:18">
      <c r="A100">
        <f>RAW_DATA!A100</f>
        <v>0</v>
      </c>
      <c r="B100">
        <f>RAW_DATA!B100</f>
        <v>0</v>
      </c>
      <c r="C100">
        <f>RAW_DATA!C100</f>
        <v>0</v>
      </c>
      <c r="D100">
        <f>RAW_DATA!D100</f>
        <v>0</v>
      </c>
      <c r="E100">
        <f>RAW_DATA!E100</f>
        <v>0</v>
      </c>
      <c r="F100">
        <f>RAW_DATA!F100</f>
        <v>0</v>
      </c>
      <c r="G100">
        <f>RAW_DATA!G100</f>
        <v>0</v>
      </c>
      <c r="H100">
        <f>RAW_DATA!H100</f>
        <v>0</v>
      </c>
      <c r="I100">
        <f>RAW_DATA!I100</f>
        <v>0</v>
      </c>
      <c r="J100">
        <f>RAW_DATA!J100</f>
        <v>0</v>
      </c>
      <c r="K100">
        <f>RAW_DATA!K100</f>
        <v>0</v>
      </c>
      <c r="L100">
        <f>RAW_DATA!L100</f>
        <v>0</v>
      </c>
      <c r="M100">
        <f>H100*I100</f>
        <v>0</v>
      </c>
      <c r="N100">
        <f>ISOWEEKNUM(B100)</f>
        <v>0</v>
      </c>
      <c r="O100">
        <f>TEXT(B100,"mmm")</f>
        <v>0</v>
      </c>
      <c r="P100">
        <f>"Q"&amp;ROUNDUP(MONTH(B100)/3,0)</f>
        <v>0</v>
      </c>
      <c r="Q100">
        <f>IF(J100&gt;=4,"High",IF(J100&gt;=3,"Medium","Low"))</f>
        <v>0</v>
      </c>
      <c r="R100">
        <f>IF(K100&lt;=5,"On Time","Delayed")</f>
        <v>0</v>
      </c>
    </row>
    <row r="101" spans="1:18">
      <c r="A101">
        <f>RAW_DATA!A101</f>
        <v>0</v>
      </c>
      <c r="B101">
        <f>RAW_DATA!B101</f>
        <v>0</v>
      </c>
      <c r="C101">
        <f>RAW_DATA!C101</f>
        <v>0</v>
      </c>
      <c r="D101">
        <f>RAW_DATA!D101</f>
        <v>0</v>
      </c>
      <c r="E101">
        <f>RAW_DATA!E101</f>
        <v>0</v>
      </c>
      <c r="F101">
        <f>RAW_DATA!F101</f>
        <v>0</v>
      </c>
      <c r="G101">
        <f>RAW_DATA!G101</f>
        <v>0</v>
      </c>
      <c r="H101">
        <f>RAW_DATA!H101</f>
        <v>0</v>
      </c>
      <c r="I101">
        <f>RAW_DATA!I101</f>
        <v>0</v>
      </c>
      <c r="J101">
        <f>RAW_DATA!J101</f>
        <v>0</v>
      </c>
      <c r="K101">
        <f>RAW_DATA!K101</f>
        <v>0</v>
      </c>
      <c r="L101">
        <f>RAW_DATA!L101</f>
        <v>0</v>
      </c>
      <c r="M101">
        <f>H101*I101</f>
        <v>0</v>
      </c>
      <c r="N101">
        <f>ISOWEEKNUM(B101)</f>
        <v>0</v>
      </c>
      <c r="O101">
        <f>TEXT(B101,"mmm")</f>
        <v>0</v>
      </c>
      <c r="P101">
        <f>"Q"&amp;ROUNDUP(MONTH(B101)/3,0)</f>
        <v>0</v>
      </c>
      <c r="Q101">
        <f>IF(J101&gt;=4,"High",IF(J101&gt;=3,"Medium","Low"))</f>
        <v>0</v>
      </c>
      <c r="R101">
        <f>IF(K101&lt;=5,"On Time","Delayed")</f>
        <v>0</v>
      </c>
    </row>
    <row r="102" spans="1:18">
      <c r="A102">
        <f>RAW_DATA!A102</f>
        <v>0</v>
      </c>
      <c r="B102">
        <f>RAW_DATA!B102</f>
        <v>0</v>
      </c>
      <c r="C102">
        <f>RAW_DATA!C102</f>
        <v>0</v>
      </c>
      <c r="D102">
        <f>RAW_DATA!D102</f>
        <v>0</v>
      </c>
      <c r="E102">
        <f>RAW_DATA!E102</f>
        <v>0</v>
      </c>
      <c r="F102">
        <f>RAW_DATA!F102</f>
        <v>0</v>
      </c>
      <c r="G102">
        <f>RAW_DATA!G102</f>
        <v>0</v>
      </c>
      <c r="H102">
        <f>RAW_DATA!H102</f>
        <v>0</v>
      </c>
      <c r="I102">
        <f>RAW_DATA!I102</f>
        <v>0</v>
      </c>
      <c r="J102">
        <f>RAW_DATA!J102</f>
        <v>0</v>
      </c>
      <c r="K102">
        <f>RAW_DATA!K102</f>
        <v>0</v>
      </c>
      <c r="L102">
        <f>RAW_DATA!L102</f>
        <v>0</v>
      </c>
      <c r="M102">
        <f>H102*I102</f>
        <v>0</v>
      </c>
      <c r="N102">
        <f>ISOWEEKNUM(B102)</f>
        <v>0</v>
      </c>
      <c r="O102">
        <f>TEXT(B102,"mmm")</f>
        <v>0</v>
      </c>
      <c r="P102">
        <f>"Q"&amp;ROUNDUP(MONTH(B102)/3,0)</f>
        <v>0</v>
      </c>
      <c r="Q102">
        <f>IF(J102&gt;=4,"High",IF(J102&gt;=3,"Medium","Low"))</f>
        <v>0</v>
      </c>
      <c r="R102">
        <f>IF(K102&lt;=5,"On Time","Delayed")</f>
        <v>0</v>
      </c>
    </row>
    <row r="103" spans="1:18">
      <c r="A103">
        <f>RAW_DATA!A103</f>
        <v>0</v>
      </c>
      <c r="B103">
        <f>RAW_DATA!B103</f>
        <v>0</v>
      </c>
      <c r="C103">
        <f>RAW_DATA!C103</f>
        <v>0</v>
      </c>
      <c r="D103">
        <f>RAW_DATA!D103</f>
        <v>0</v>
      </c>
      <c r="E103">
        <f>RAW_DATA!E103</f>
        <v>0</v>
      </c>
      <c r="F103">
        <f>RAW_DATA!F103</f>
        <v>0</v>
      </c>
      <c r="G103">
        <f>RAW_DATA!G103</f>
        <v>0</v>
      </c>
      <c r="H103">
        <f>RAW_DATA!H103</f>
        <v>0</v>
      </c>
      <c r="I103">
        <f>RAW_DATA!I103</f>
        <v>0</v>
      </c>
      <c r="J103">
        <f>RAW_DATA!J103</f>
        <v>0</v>
      </c>
      <c r="K103">
        <f>RAW_DATA!K103</f>
        <v>0</v>
      </c>
      <c r="L103">
        <f>RAW_DATA!L103</f>
        <v>0</v>
      </c>
      <c r="M103">
        <f>H103*I103</f>
        <v>0</v>
      </c>
      <c r="N103">
        <f>ISOWEEKNUM(B103)</f>
        <v>0</v>
      </c>
      <c r="O103">
        <f>TEXT(B103,"mmm")</f>
        <v>0</v>
      </c>
      <c r="P103">
        <f>"Q"&amp;ROUNDUP(MONTH(B103)/3,0)</f>
        <v>0</v>
      </c>
      <c r="Q103">
        <f>IF(J103&gt;=4,"High",IF(J103&gt;=3,"Medium","Low"))</f>
        <v>0</v>
      </c>
      <c r="R103">
        <f>IF(K103&lt;=5,"On Time","Delayed")</f>
        <v>0</v>
      </c>
    </row>
    <row r="104" spans="1:18">
      <c r="A104">
        <f>RAW_DATA!A104</f>
        <v>0</v>
      </c>
      <c r="B104">
        <f>RAW_DATA!B104</f>
        <v>0</v>
      </c>
      <c r="C104">
        <f>RAW_DATA!C104</f>
        <v>0</v>
      </c>
      <c r="D104">
        <f>RAW_DATA!D104</f>
        <v>0</v>
      </c>
      <c r="E104">
        <f>RAW_DATA!E104</f>
        <v>0</v>
      </c>
      <c r="F104">
        <f>RAW_DATA!F104</f>
        <v>0</v>
      </c>
      <c r="G104">
        <f>RAW_DATA!G104</f>
        <v>0</v>
      </c>
      <c r="H104">
        <f>RAW_DATA!H104</f>
        <v>0</v>
      </c>
      <c r="I104">
        <f>RAW_DATA!I104</f>
        <v>0</v>
      </c>
      <c r="J104">
        <f>RAW_DATA!J104</f>
        <v>0</v>
      </c>
      <c r="K104">
        <f>RAW_DATA!K104</f>
        <v>0</v>
      </c>
      <c r="L104">
        <f>RAW_DATA!L104</f>
        <v>0</v>
      </c>
      <c r="M104">
        <f>H104*I104</f>
        <v>0</v>
      </c>
      <c r="N104">
        <f>ISOWEEKNUM(B104)</f>
        <v>0</v>
      </c>
      <c r="O104">
        <f>TEXT(B104,"mmm")</f>
        <v>0</v>
      </c>
      <c r="P104">
        <f>"Q"&amp;ROUNDUP(MONTH(B104)/3,0)</f>
        <v>0</v>
      </c>
      <c r="Q104">
        <f>IF(J104&gt;=4,"High",IF(J104&gt;=3,"Medium","Low"))</f>
        <v>0</v>
      </c>
      <c r="R104">
        <f>IF(K104&lt;=5,"On Time","Delayed")</f>
        <v>0</v>
      </c>
    </row>
    <row r="105" spans="1:18">
      <c r="A105">
        <f>RAW_DATA!A105</f>
        <v>0</v>
      </c>
      <c r="B105">
        <f>RAW_DATA!B105</f>
        <v>0</v>
      </c>
      <c r="C105">
        <f>RAW_DATA!C105</f>
        <v>0</v>
      </c>
      <c r="D105">
        <f>RAW_DATA!D105</f>
        <v>0</v>
      </c>
      <c r="E105">
        <f>RAW_DATA!E105</f>
        <v>0</v>
      </c>
      <c r="F105">
        <f>RAW_DATA!F105</f>
        <v>0</v>
      </c>
      <c r="G105">
        <f>RAW_DATA!G105</f>
        <v>0</v>
      </c>
      <c r="H105">
        <f>RAW_DATA!H105</f>
        <v>0</v>
      </c>
      <c r="I105">
        <f>RAW_DATA!I105</f>
        <v>0</v>
      </c>
      <c r="J105">
        <f>RAW_DATA!J105</f>
        <v>0</v>
      </c>
      <c r="K105">
        <f>RAW_DATA!K105</f>
        <v>0</v>
      </c>
      <c r="L105">
        <f>RAW_DATA!L105</f>
        <v>0</v>
      </c>
      <c r="M105">
        <f>H105*I105</f>
        <v>0</v>
      </c>
      <c r="N105">
        <f>ISOWEEKNUM(B105)</f>
        <v>0</v>
      </c>
      <c r="O105">
        <f>TEXT(B105,"mmm")</f>
        <v>0</v>
      </c>
      <c r="P105">
        <f>"Q"&amp;ROUNDUP(MONTH(B105)/3,0)</f>
        <v>0</v>
      </c>
      <c r="Q105">
        <f>IF(J105&gt;=4,"High",IF(J105&gt;=3,"Medium","Low"))</f>
        <v>0</v>
      </c>
      <c r="R105">
        <f>IF(K105&lt;=5,"On Time","Delayed")</f>
        <v>0</v>
      </c>
    </row>
    <row r="106" spans="1:18">
      <c r="A106">
        <f>RAW_DATA!A106</f>
        <v>0</v>
      </c>
      <c r="B106">
        <f>RAW_DATA!B106</f>
        <v>0</v>
      </c>
      <c r="C106">
        <f>RAW_DATA!C106</f>
        <v>0</v>
      </c>
      <c r="D106">
        <f>RAW_DATA!D106</f>
        <v>0</v>
      </c>
      <c r="E106">
        <f>RAW_DATA!E106</f>
        <v>0</v>
      </c>
      <c r="F106">
        <f>RAW_DATA!F106</f>
        <v>0</v>
      </c>
      <c r="G106">
        <f>RAW_DATA!G106</f>
        <v>0</v>
      </c>
      <c r="H106">
        <f>RAW_DATA!H106</f>
        <v>0</v>
      </c>
      <c r="I106">
        <f>RAW_DATA!I106</f>
        <v>0</v>
      </c>
      <c r="J106">
        <f>RAW_DATA!J106</f>
        <v>0</v>
      </c>
      <c r="K106">
        <f>RAW_DATA!K106</f>
        <v>0</v>
      </c>
      <c r="L106">
        <f>RAW_DATA!L106</f>
        <v>0</v>
      </c>
      <c r="M106">
        <f>H106*I106</f>
        <v>0</v>
      </c>
      <c r="N106">
        <f>ISOWEEKNUM(B106)</f>
        <v>0</v>
      </c>
      <c r="O106">
        <f>TEXT(B106,"mmm")</f>
        <v>0</v>
      </c>
      <c r="P106">
        <f>"Q"&amp;ROUNDUP(MONTH(B106)/3,0)</f>
        <v>0</v>
      </c>
      <c r="Q106">
        <f>IF(J106&gt;=4,"High",IF(J106&gt;=3,"Medium","Low"))</f>
        <v>0</v>
      </c>
      <c r="R106">
        <f>IF(K106&lt;=5,"On Time","Delayed")</f>
        <v>0</v>
      </c>
    </row>
    <row r="107" spans="1:18">
      <c r="A107">
        <f>RAW_DATA!A107</f>
        <v>0</v>
      </c>
      <c r="B107">
        <f>RAW_DATA!B107</f>
        <v>0</v>
      </c>
      <c r="C107">
        <f>RAW_DATA!C107</f>
        <v>0</v>
      </c>
      <c r="D107">
        <f>RAW_DATA!D107</f>
        <v>0</v>
      </c>
      <c r="E107">
        <f>RAW_DATA!E107</f>
        <v>0</v>
      </c>
      <c r="F107">
        <f>RAW_DATA!F107</f>
        <v>0</v>
      </c>
      <c r="G107">
        <f>RAW_DATA!G107</f>
        <v>0</v>
      </c>
      <c r="H107">
        <f>RAW_DATA!H107</f>
        <v>0</v>
      </c>
      <c r="I107">
        <f>RAW_DATA!I107</f>
        <v>0</v>
      </c>
      <c r="J107">
        <f>RAW_DATA!J107</f>
        <v>0</v>
      </c>
      <c r="K107">
        <f>RAW_DATA!K107</f>
        <v>0</v>
      </c>
      <c r="L107">
        <f>RAW_DATA!L107</f>
        <v>0</v>
      </c>
      <c r="M107">
        <f>H107*I107</f>
        <v>0</v>
      </c>
      <c r="N107">
        <f>ISOWEEKNUM(B107)</f>
        <v>0</v>
      </c>
      <c r="O107">
        <f>TEXT(B107,"mmm")</f>
        <v>0</v>
      </c>
      <c r="P107">
        <f>"Q"&amp;ROUNDUP(MONTH(B107)/3,0)</f>
        <v>0</v>
      </c>
      <c r="Q107">
        <f>IF(J107&gt;=4,"High",IF(J107&gt;=3,"Medium","Low"))</f>
        <v>0</v>
      </c>
      <c r="R107">
        <f>IF(K107&lt;=5,"On Time","Delayed")</f>
        <v>0</v>
      </c>
    </row>
    <row r="108" spans="1:18">
      <c r="A108">
        <f>RAW_DATA!A108</f>
        <v>0</v>
      </c>
      <c r="B108">
        <f>RAW_DATA!B108</f>
        <v>0</v>
      </c>
      <c r="C108">
        <f>RAW_DATA!C108</f>
        <v>0</v>
      </c>
      <c r="D108">
        <f>RAW_DATA!D108</f>
        <v>0</v>
      </c>
      <c r="E108">
        <f>RAW_DATA!E108</f>
        <v>0</v>
      </c>
      <c r="F108">
        <f>RAW_DATA!F108</f>
        <v>0</v>
      </c>
      <c r="G108">
        <f>RAW_DATA!G108</f>
        <v>0</v>
      </c>
      <c r="H108">
        <f>RAW_DATA!H108</f>
        <v>0</v>
      </c>
      <c r="I108">
        <f>RAW_DATA!I108</f>
        <v>0</v>
      </c>
      <c r="J108">
        <f>RAW_DATA!J108</f>
        <v>0</v>
      </c>
      <c r="K108">
        <f>RAW_DATA!K108</f>
        <v>0</v>
      </c>
      <c r="L108">
        <f>RAW_DATA!L108</f>
        <v>0</v>
      </c>
      <c r="M108">
        <f>H108*I108</f>
        <v>0</v>
      </c>
      <c r="N108">
        <f>ISOWEEKNUM(B108)</f>
        <v>0</v>
      </c>
      <c r="O108">
        <f>TEXT(B108,"mmm")</f>
        <v>0</v>
      </c>
      <c r="P108">
        <f>"Q"&amp;ROUNDUP(MONTH(B108)/3,0)</f>
        <v>0</v>
      </c>
      <c r="Q108">
        <f>IF(J108&gt;=4,"High",IF(J108&gt;=3,"Medium","Low"))</f>
        <v>0</v>
      </c>
      <c r="R108">
        <f>IF(K108&lt;=5,"On Time","Delayed")</f>
        <v>0</v>
      </c>
    </row>
    <row r="109" spans="1:18">
      <c r="A109">
        <f>RAW_DATA!A109</f>
        <v>0</v>
      </c>
      <c r="B109">
        <f>RAW_DATA!B109</f>
        <v>0</v>
      </c>
      <c r="C109">
        <f>RAW_DATA!C109</f>
        <v>0</v>
      </c>
      <c r="D109">
        <f>RAW_DATA!D109</f>
        <v>0</v>
      </c>
      <c r="E109">
        <f>RAW_DATA!E109</f>
        <v>0</v>
      </c>
      <c r="F109">
        <f>RAW_DATA!F109</f>
        <v>0</v>
      </c>
      <c r="G109">
        <f>RAW_DATA!G109</f>
        <v>0</v>
      </c>
      <c r="H109">
        <f>RAW_DATA!H109</f>
        <v>0</v>
      </c>
      <c r="I109">
        <f>RAW_DATA!I109</f>
        <v>0</v>
      </c>
      <c r="J109">
        <f>RAW_DATA!J109</f>
        <v>0</v>
      </c>
      <c r="K109">
        <f>RAW_DATA!K109</f>
        <v>0</v>
      </c>
      <c r="L109">
        <f>RAW_DATA!L109</f>
        <v>0</v>
      </c>
      <c r="M109">
        <f>H109*I109</f>
        <v>0</v>
      </c>
      <c r="N109">
        <f>ISOWEEKNUM(B109)</f>
        <v>0</v>
      </c>
      <c r="O109">
        <f>TEXT(B109,"mmm")</f>
        <v>0</v>
      </c>
      <c r="P109">
        <f>"Q"&amp;ROUNDUP(MONTH(B109)/3,0)</f>
        <v>0</v>
      </c>
      <c r="Q109">
        <f>IF(J109&gt;=4,"High",IF(J109&gt;=3,"Medium","Low"))</f>
        <v>0</v>
      </c>
      <c r="R109">
        <f>IF(K109&lt;=5,"On Time","Delayed")</f>
        <v>0</v>
      </c>
    </row>
    <row r="110" spans="1:18">
      <c r="A110">
        <f>RAW_DATA!A110</f>
        <v>0</v>
      </c>
      <c r="B110">
        <f>RAW_DATA!B110</f>
        <v>0</v>
      </c>
      <c r="C110">
        <f>RAW_DATA!C110</f>
        <v>0</v>
      </c>
      <c r="D110">
        <f>RAW_DATA!D110</f>
        <v>0</v>
      </c>
      <c r="E110">
        <f>RAW_DATA!E110</f>
        <v>0</v>
      </c>
      <c r="F110">
        <f>RAW_DATA!F110</f>
        <v>0</v>
      </c>
      <c r="G110">
        <f>RAW_DATA!G110</f>
        <v>0</v>
      </c>
      <c r="H110">
        <f>RAW_DATA!H110</f>
        <v>0</v>
      </c>
      <c r="I110">
        <f>RAW_DATA!I110</f>
        <v>0</v>
      </c>
      <c r="J110">
        <f>RAW_DATA!J110</f>
        <v>0</v>
      </c>
      <c r="K110">
        <f>RAW_DATA!K110</f>
        <v>0</v>
      </c>
      <c r="L110">
        <f>RAW_DATA!L110</f>
        <v>0</v>
      </c>
      <c r="M110">
        <f>H110*I110</f>
        <v>0</v>
      </c>
      <c r="N110">
        <f>ISOWEEKNUM(B110)</f>
        <v>0</v>
      </c>
      <c r="O110">
        <f>TEXT(B110,"mmm")</f>
        <v>0</v>
      </c>
      <c r="P110">
        <f>"Q"&amp;ROUNDUP(MONTH(B110)/3,0)</f>
        <v>0</v>
      </c>
      <c r="Q110">
        <f>IF(J110&gt;=4,"High",IF(J110&gt;=3,"Medium","Low"))</f>
        <v>0</v>
      </c>
      <c r="R110">
        <f>IF(K110&lt;=5,"On Time","Delayed")</f>
        <v>0</v>
      </c>
    </row>
    <row r="111" spans="1:18">
      <c r="A111">
        <f>RAW_DATA!A111</f>
        <v>0</v>
      </c>
      <c r="B111">
        <f>RAW_DATA!B111</f>
        <v>0</v>
      </c>
      <c r="C111">
        <f>RAW_DATA!C111</f>
        <v>0</v>
      </c>
      <c r="D111">
        <f>RAW_DATA!D111</f>
        <v>0</v>
      </c>
      <c r="E111">
        <f>RAW_DATA!E111</f>
        <v>0</v>
      </c>
      <c r="F111">
        <f>RAW_DATA!F111</f>
        <v>0</v>
      </c>
      <c r="G111">
        <f>RAW_DATA!G111</f>
        <v>0</v>
      </c>
      <c r="H111">
        <f>RAW_DATA!H111</f>
        <v>0</v>
      </c>
      <c r="I111">
        <f>RAW_DATA!I111</f>
        <v>0</v>
      </c>
      <c r="J111">
        <f>RAW_DATA!J111</f>
        <v>0</v>
      </c>
      <c r="K111">
        <f>RAW_DATA!K111</f>
        <v>0</v>
      </c>
      <c r="L111">
        <f>RAW_DATA!L111</f>
        <v>0</v>
      </c>
      <c r="M111">
        <f>H111*I111</f>
        <v>0</v>
      </c>
      <c r="N111">
        <f>ISOWEEKNUM(B111)</f>
        <v>0</v>
      </c>
      <c r="O111">
        <f>TEXT(B111,"mmm")</f>
        <v>0</v>
      </c>
      <c r="P111">
        <f>"Q"&amp;ROUNDUP(MONTH(B111)/3,0)</f>
        <v>0</v>
      </c>
      <c r="Q111">
        <f>IF(J111&gt;=4,"High",IF(J111&gt;=3,"Medium","Low"))</f>
        <v>0</v>
      </c>
      <c r="R111">
        <f>IF(K111&lt;=5,"On Time","Delayed")</f>
        <v>0</v>
      </c>
    </row>
    <row r="112" spans="1:18">
      <c r="A112">
        <f>RAW_DATA!A112</f>
        <v>0</v>
      </c>
      <c r="B112">
        <f>RAW_DATA!B112</f>
        <v>0</v>
      </c>
      <c r="C112">
        <f>RAW_DATA!C112</f>
        <v>0</v>
      </c>
      <c r="D112">
        <f>RAW_DATA!D112</f>
        <v>0</v>
      </c>
      <c r="E112">
        <f>RAW_DATA!E112</f>
        <v>0</v>
      </c>
      <c r="F112">
        <f>RAW_DATA!F112</f>
        <v>0</v>
      </c>
      <c r="G112">
        <f>RAW_DATA!G112</f>
        <v>0</v>
      </c>
      <c r="H112">
        <f>RAW_DATA!H112</f>
        <v>0</v>
      </c>
      <c r="I112">
        <f>RAW_DATA!I112</f>
        <v>0</v>
      </c>
      <c r="J112">
        <f>RAW_DATA!J112</f>
        <v>0</v>
      </c>
      <c r="K112">
        <f>RAW_DATA!K112</f>
        <v>0</v>
      </c>
      <c r="L112">
        <f>RAW_DATA!L112</f>
        <v>0</v>
      </c>
      <c r="M112">
        <f>H112*I112</f>
        <v>0</v>
      </c>
      <c r="N112">
        <f>ISOWEEKNUM(B112)</f>
        <v>0</v>
      </c>
      <c r="O112">
        <f>TEXT(B112,"mmm")</f>
        <v>0</v>
      </c>
      <c r="P112">
        <f>"Q"&amp;ROUNDUP(MONTH(B112)/3,0)</f>
        <v>0</v>
      </c>
      <c r="Q112">
        <f>IF(J112&gt;=4,"High",IF(J112&gt;=3,"Medium","Low"))</f>
        <v>0</v>
      </c>
      <c r="R112">
        <f>IF(K112&lt;=5,"On Time","Delayed")</f>
        <v>0</v>
      </c>
    </row>
    <row r="113" spans="1:18">
      <c r="A113">
        <f>RAW_DATA!A113</f>
        <v>0</v>
      </c>
      <c r="B113">
        <f>RAW_DATA!B113</f>
        <v>0</v>
      </c>
      <c r="C113">
        <f>RAW_DATA!C113</f>
        <v>0</v>
      </c>
      <c r="D113">
        <f>RAW_DATA!D113</f>
        <v>0</v>
      </c>
      <c r="E113">
        <f>RAW_DATA!E113</f>
        <v>0</v>
      </c>
      <c r="F113">
        <f>RAW_DATA!F113</f>
        <v>0</v>
      </c>
      <c r="G113">
        <f>RAW_DATA!G113</f>
        <v>0</v>
      </c>
      <c r="H113">
        <f>RAW_DATA!H113</f>
        <v>0</v>
      </c>
      <c r="I113">
        <f>RAW_DATA!I113</f>
        <v>0</v>
      </c>
      <c r="J113">
        <f>RAW_DATA!J113</f>
        <v>0</v>
      </c>
      <c r="K113">
        <f>RAW_DATA!K113</f>
        <v>0</v>
      </c>
      <c r="L113">
        <f>RAW_DATA!L113</f>
        <v>0</v>
      </c>
      <c r="M113">
        <f>H113*I113</f>
        <v>0</v>
      </c>
      <c r="N113">
        <f>ISOWEEKNUM(B113)</f>
        <v>0</v>
      </c>
      <c r="O113">
        <f>TEXT(B113,"mmm")</f>
        <v>0</v>
      </c>
      <c r="P113">
        <f>"Q"&amp;ROUNDUP(MONTH(B113)/3,0)</f>
        <v>0</v>
      </c>
      <c r="Q113">
        <f>IF(J113&gt;=4,"High",IF(J113&gt;=3,"Medium","Low"))</f>
        <v>0</v>
      </c>
      <c r="R113">
        <f>IF(K113&lt;=5,"On Time","Delayed")</f>
        <v>0</v>
      </c>
    </row>
    <row r="114" spans="1:18">
      <c r="A114">
        <f>RAW_DATA!A114</f>
        <v>0</v>
      </c>
      <c r="B114">
        <f>RAW_DATA!B114</f>
        <v>0</v>
      </c>
      <c r="C114">
        <f>RAW_DATA!C114</f>
        <v>0</v>
      </c>
      <c r="D114">
        <f>RAW_DATA!D114</f>
        <v>0</v>
      </c>
      <c r="E114">
        <f>RAW_DATA!E114</f>
        <v>0</v>
      </c>
      <c r="F114">
        <f>RAW_DATA!F114</f>
        <v>0</v>
      </c>
      <c r="G114">
        <f>RAW_DATA!G114</f>
        <v>0</v>
      </c>
      <c r="H114">
        <f>RAW_DATA!H114</f>
        <v>0</v>
      </c>
      <c r="I114">
        <f>RAW_DATA!I114</f>
        <v>0</v>
      </c>
      <c r="J114">
        <f>RAW_DATA!J114</f>
        <v>0</v>
      </c>
      <c r="K114">
        <f>RAW_DATA!K114</f>
        <v>0</v>
      </c>
      <c r="L114">
        <f>RAW_DATA!L114</f>
        <v>0</v>
      </c>
      <c r="M114">
        <f>H114*I114</f>
        <v>0</v>
      </c>
      <c r="N114">
        <f>ISOWEEKNUM(B114)</f>
        <v>0</v>
      </c>
      <c r="O114">
        <f>TEXT(B114,"mmm")</f>
        <v>0</v>
      </c>
      <c r="P114">
        <f>"Q"&amp;ROUNDUP(MONTH(B114)/3,0)</f>
        <v>0</v>
      </c>
      <c r="Q114">
        <f>IF(J114&gt;=4,"High",IF(J114&gt;=3,"Medium","Low"))</f>
        <v>0</v>
      </c>
      <c r="R114">
        <f>IF(K114&lt;=5,"On Time","Delayed")</f>
        <v>0</v>
      </c>
    </row>
    <row r="115" spans="1:18">
      <c r="A115">
        <f>RAW_DATA!A115</f>
        <v>0</v>
      </c>
      <c r="B115">
        <f>RAW_DATA!B115</f>
        <v>0</v>
      </c>
      <c r="C115">
        <f>RAW_DATA!C115</f>
        <v>0</v>
      </c>
      <c r="D115">
        <f>RAW_DATA!D115</f>
        <v>0</v>
      </c>
      <c r="E115">
        <f>RAW_DATA!E115</f>
        <v>0</v>
      </c>
      <c r="F115">
        <f>RAW_DATA!F115</f>
        <v>0</v>
      </c>
      <c r="G115">
        <f>RAW_DATA!G115</f>
        <v>0</v>
      </c>
      <c r="H115">
        <f>RAW_DATA!H115</f>
        <v>0</v>
      </c>
      <c r="I115">
        <f>RAW_DATA!I115</f>
        <v>0</v>
      </c>
      <c r="J115">
        <f>RAW_DATA!J115</f>
        <v>0</v>
      </c>
      <c r="K115">
        <f>RAW_DATA!K115</f>
        <v>0</v>
      </c>
      <c r="L115">
        <f>RAW_DATA!L115</f>
        <v>0</v>
      </c>
      <c r="M115">
        <f>H115*I115</f>
        <v>0</v>
      </c>
      <c r="N115">
        <f>ISOWEEKNUM(B115)</f>
        <v>0</v>
      </c>
      <c r="O115">
        <f>TEXT(B115,"mmm")</f>
        <v>0</v>
      </c>
      <c r="P115">
        <f>"Q"&amp;ROUNDUP(MONTH(B115)/3,0)</f>
        <v>0</v>
      </c>
      <c r="Q115">
        <f>IF(J115&gt;=4,"High",IF(J115&gt;=3,"Medium","Low"))</f>
        <v>0</v>
      </c>
      <c r="R115">
        <f>IF(K115&lt;=5,"On Time","Delayed")</f>
        <v>0</v>
      </c>
    </row>
    <row r="116" spans="1:18">
      <c r="A116">
        <f>RAW_DATA!A116</f>
        <v>0</v>
      </c>
      <c r="B116">
        <f>RAW_DATA!B116</f>
        <v>0</v>
      </c>
      <c r="C116">
        <f>RAW_DATA!C116</f>
        <v>0</v>
      </c>
      <c r="D116">
        <f>RAW_DATA!D116</f>
        <v>0</v>
      </c>
      <c r="E116">
        <f>RAW_DATA!E116</f>
        <v>0</v>
      </c>
      <c r="F116">
        <f>RAW_DATA!F116</f>
        <v>0</v>
      </c>
      <c r="G116">
        <f>RAW_DATA!G116</f>
        <v>0</v>
      </c>
      <c r="H116">
        <f>RAW_DATA!H116</f>
        <v>0</v>
      </c>
      <c r="I116">
        <f>RAW_DATA!I116</f>
        <v>0</v>
      </c>
      <c r="J116">
        <f>RAW_DATA!J116</f>
        <v>0</v>
      </c>
      <c r="K116">
        <f>RAW_DATA!K116</f>
        <v>0</v>
      </c>
      <c r="L116">
        <f>RAW_DATA!L116</f>
        <v>0</v>
      </c>
      <c r="M116">
        <f>H116*I116</f>
        <v>0</v>
      </c>
      <c r="N116">
        <f>ISOWEEKNUM(B116)</f>
        <v>0</v>
      </c>
      <c r="O116">
        <f>TEXT(B116,"mmm")</f>
        <v>0</v>
      </c>
      <c r="P116">
        <f>"Q"&amp;ROUNDUP(MONTH(B116)/3,0)</f>
        <v>0</v>
      </c>
      <c r="Q116">
        <f>IF(J116&gt;=4,"High",IF(J116&gt;=3,"Medium","Low"))</f>
        <v>0</v>
      </c>
      <c r="R116">
        <f>IF(K116&lt;=5,"On Time","Delayed")</f>
        <v>0</v>
      </c>
    </row>
    <row r="117" spans="1:18">
      <c r="A117">
        <f>RAW_DATA!A117</f>
        <v>0</v>
      </c>
      <c r="B117">
        <f>RAW_DATA!B117</f>
        <v>0</v>
      </c>
      <c r="C117">
        <f>RAW_DATA!C117</f>
        <v>0</v>
      </c>
      <c r="D117">
        <f>RAW_DATA!D117</f>
        <v>0</v>
      </c>
      <c r="E117">
        <f>RAW_DATA!E117</f>
        <v>0</v>
      </c>
      <c r="F117">
        <f>RAW_DATA!F117</f>
        <v>0</v>
      </c>
      <c r="G117">
        <f>RAW_DATA!G117</f>
        <v>0</v>
      </c>
      <c r="H117">
        <f>RAW_DATA!H117</f>
        <v>0</v>
      </c>
      <c r="I117">
        <f>RAW_DATA!I117</f>
        <v>0</v>
      </c>
      <c r="J117">
        <f>RAW_DATA!J117</f>
        <v>0</v>
      </c>
      <c r="K117">
        <f>RAW_DATA!K117</f>
        <v>0</v>
      </c>
      <c r="L117">
        <f>RAW_DATA!L117</f>
        <v>0</v>
      </c>
      <c r="M117">
        <f>H117*I117</f>
        <v>0</v>
      </c>
      <c r="N117">
        <f>ISOWEEKNUM(B117)</f>
        <v>0</v>
      </c>
      <c r="O117">
        <f>TEXT(B117,"mmm")</f>
        <v>0</v>
      </c>
      <c r="P117">
        <f>"Q"&amp;ROUNDUP(MONTH(B117)/3,0)</f>
        <v>0</v>
      </c>
      <c r="Q117">
        <f>IF(J117&gt;=4,"High",IF(J117&gt;=3,"Medium","Low"))</f>
        <v>0</v>
      </c>
      <c r="R117">
        <f>IF(K117&lt;=5,"On Time","Delayed")</f>
        <v>0</v>
      </c>
    </row>
    <row r="118" spans="1:18">
      <c r="A118">
        <f>RAW_DATA!A118</f>
        <v>0</v>
      </c>
      <c r="B118">
        <f>RAW_DATA!B118</f>
        <v>0</v>
      </c>
      <c r="C118">
        <f>RAW_DATA!C118</f>
        <v>0</v>
      </c>
      <c r="D118">
        <f>RAW_DATA!D118</f>
        <v>0</v>
      </c>
      <c r="E118">
        <f>RAW_DATA!E118</f>
        <v>0</v>
      </c>
      <c r="F118">
        <f>RAW_DATA!F118</f>
        <v>0</v>
      </c>
      <c r="G118">
        <f>RAW_DATA!G118</f>
        <v>0</v>
      </c>
      <c r="H118">
        <f>RAW_DATA!H118</f>
        <v>0</v>
      </c>
      <c r="I118">
        <f>RAW_DATA!I118</f>
        <v>0</v>
      </c>
      <c r="J118">
        <f>RAW_DATA!J118</f>
        <v>0</v>
      </c>
      <c r="K118">
        <f>RAW_DATA!K118</f>
        <v>0</v>
      </c>
      <c r="L118">
        <f>RAW_DATA!L118</f>
        <v>0</v>
      </c>
      <c r="M118">
        <f>H118*I118</f>
        <v>0</v>
      </c>
      <c r="N118">
        <f>ISOWEEKNUM(B118)</f>
        <v>0</v>
      </c>
      <c r="O118">
        <f>TEXT(B118,"mmm")</f>
        <v>0</v>
      </c>
      <c r="P118">
        <f>"Q"&amp;ROUNDUP(MONTH(B118)/3,0)</f>
        <v>0</v>
      </c>
      <c r="Q118">
        <f>IF(J118&gt;=4,"High",IF(J118&gt;=3,"Medium","Low"))</f>
        <v>0</v>
      </c>
      <c r="R118">
        <f>IF(K118&lt;=5,"On Time","Delayed")</f>
        <v>0</v>
      </c>
    </row>
    <row r="119" spans="1:18">
      <c r="A119">
        <f>RAW_DATA!A119</f>
        <v>0</v>
      </c>
      <c r="B119">
        <f>RAW_DATA!B119</f>
        <v>0</v>
      </c>
      <c r="C119">
        <f>RAW_DATA!C119</f>
        <v>0</v>
      </c>
      <c r="D119">
        <f>RAW_DATA!D119</f>
        <v>0</v>
      </c>
      <c r="E119">
        <f>RAW_DATA!E119</f>
        <v>0</v>
      </c>
      <c r="F119">
        <f>RAW_DATA!F119</f>
        <v>0</v>
      </c>
      <c r="G119">
        <f>RAW_DATA!G119</f>
        <v>0</v>
      </c>
      <c r="H119">
        <f>RAW_DATA!H119</f>
        <v>0</v>
      </c>
      <c r="I119">
        <f>RAW_DATA!I119</f>
        <v>0</v>
      </c>
      <c r="J119">
        <f>RAW_DATA!J119</f>
        <v>0</v>
      </c>
      <c r="K119">
        <f>RAW_DATA!K119</f>
        <v>0</v>
      </c>
      <c r="L119">
        <f>RAW_DATA!L119</f>
        <v>0</v>
      </c>
      <c r="M119">
        <f>H119*I119</f>
        <v>0</v>
      </c>
      <c r="N119">
        <f>ISOWEEKNUM(B119)</f>
        <v>0</v>
      </c>
      <c r="O119">
        <f>TEXT(B119,"mmm")</f>
        <v>0</v>
      </c>
      <c r="P119">
        <f>"Q"&amp;ROUNDUP(MONTH(B119)/3,0)</f>
        <v>0</v>
      </c>
      <c r="Q119">
        <f>IF(J119&gt;=4,"High",IF(J119&gt;=3,"Medium","Low"))</f>
        <v>0</v>
      </c>
      <c r="R119">
        <f>IF(K119&lt;=5,"On Time","Delayed")</f>
        <v>0</v>
      </c>
    </row>
    <row r="120" spans="1:18">
      <c r="A120">
        <f>RAW_DATA!A120</f>
        <v>0</v>
      </c>
      <c r="B120">
        <f>RAW_DATA!B120</f>
        <v>0</v>
      </c>
      <c r="C120">
        <f>RAW_DATA!C120</f>
        <v>0</v>
      </c>
      <c r="D120">
        <f>RAW_DATA!D120</f>
        <v>0</v>
      </c>
      <c r="E120">
        <f>RAW_DATA!E120</f>
        <v>0</v>
      </c>
      <c r="F120">
        <f>RAW_DATA!F120</f>
        <v>0</v>
      </c>
      <c r="G120">
        <f>RAW_DATA!G120</f>
        <v>0</v>
      </c>
      <c r="H120">
        <f>RAW_DATA!H120</f>
        <v>0</v>
      </c>
      <c r="I120">
        <f>RAW_DATA!I120</f>
        <v>0</v>
      </c>
      <c r="J120">
        <f>RAW_DATA!J120</f>
        <v>0</v>
      </c>
      <c r="K120">
        <f>RAW_DATA!K120</f>
        <v>0</v>
      </c>
      <c r="L120">
        <f>RAW_DATA!L120</f>
        <v>0</v>
      </c>
      <c r="M120">
        <f>H120*I120</f>
        <v>0</v>
      </c>
      <c r="N120">
        <f>ISOWEEKNUM(B120)</f>
        <v>0</v>
      </c>
      <c r="O120">
        <f>TEXT(B120,"mmm")</f>
        <v>0</v>
      </c>
      <c r="P120">
        <f>"Q"&amp;ROUNDUP(MONTH(B120)/3,0)</f>
        <v>0</v>
      </c>
      <c r="Q120">
        <f>IF(J120&gt;=4,"High",IF(J120&gt;=3,"Medium","Low"))</f>
        <v>0</v>
      </c>
      <c r="R120">
        <f>IF(K120&lt;=5,"On Time","Delayed")</f>
        <v>0</v>
      </c>
    </row>
    <row r="121" spans="1:18">
      <c r="A121">
        <f>RAW_DATA!A121</f>
        <v>0</v>
      </c>
      <c r="B121">
        <f>RAW_DATA!B121</f>
        <v>0</v>
      </c>
      <c r="C121">
        <f>RAW_DATA!C121</f>
        <v>0</v>
      </c>
      <c r="D121">
        <f>RAW_DATA!D121</f>
        <v>0</v>
      </c>
      <c r="E121">
        <f>RAW_DATA!E121</f>
        <v>0</v>
      </c>
      <c r="F121">
        <f>RAW_DATA!F121</f>
        <v>0</v>
      </c>
      <c r="G121">
        <f>RAW_DATA!G121</f>
        <v>0</v>
      </c>
      <c r="H121">
        <f>RAW_DATA!H121</f>
        <v>0</v>
      </c>
      <c r="I121">
        <f>RAW_DATA!I121</f>
        <v>0</v>
      </c>
      <c r="J121">
        <f>RAW_DATA!J121</f>
        <v>0</v>
      </c>
      <c r="K121">
        <f>RAW_DATA!K121</f>
        <v>0</v>
      </c>
      <c r="L121">
        <f>RAW_DATA!L121</f>
        <v>0</v>
      </c>
      <c r="M121">
        <f>H121*I121</f>
        <v>0</v>
      </c>
      <c r="N121">
        <f>ISOWEEKNUM(B121)</f>
        <v>0</v>
      </c>
      <c r="O121">
        <f>TEXT(B121,"mmm")</f>
        <v>0</v>
      </c>
      <c r="P121">
        <f>"Q"&amp;ROUNDUP(MONTH(B121)/3,0)</f>
        <v>0</v>
      </c>
      <c r="Q121">
        <f>IF(J121&gt;=4,"High",IF(J121&gt;=3,"Medium","Low"))</f>
        <v>0</v>
      </c>
      <c r="R121">
        <f>IF(K121&lt;=5,"On Time","Delayed")</f>
        <v>0</v>
      </c>
    </row>
    <row r="122" spans="1:18">
      <c r="A122">
        <f>RAW_DATA!A122</f>
        <v>0</v>
      </c>
      <c r="B122">
        <f>RAW_DATA!B122</f>
        <v>0</v>
      </c>
      <c r="C122">
        <f>RAW_DATA!C122</f>
        <v>0</v>
      </c>
      <c r="D122">
        <f>RAW_DATA!D122</f>
        <v>0</v>
      </c>
      <c r="E122">
        <f>RAW_DATA!E122</f>
        <v>0</v>
      </c>
      <c r="F122">
        <f>RAW_DATA!F122</f>
        <v>0</v>
      </c>
      <c r="G122">
        <f>RAW_DATA!G122</f>
        <v>0</v>
      </c>
      <c r="H122">
        <f>RAW_DATA!H122</f>
        <v>0</v>
      </c>
      <c r="I122">
        <f>RAW_DATA!I122</f>
        <v>0</v>
      </c>
      <c r="J122">
        <f>RAW_DATA!J122</f>
        <v>0</v>
      </c>
      <c r="K122">
        <f>RAW_DATA!K122</f>
        <v>0</v>
      </c>
      <c r="L122">
        <f>RAW_DATA!L122</f>
        <v>0</v>
      </c>
      <c r="M122">
        <f>H122*I122</f>
        <v>0</v>
      </c>
      <c r="N122">
        <f>ISOWEEKNUM(B122)</f>
        <v>0</v>
      </c>
      <c r="O122">
        <f>TEXT(B122,"mmm")</f>
        <v>0</v>
      </c>
      <c r="P122">
        <f>"Q"&amp;ROUNDUP(MONTH(B122)/3,0)</f>
        <v>0</v>
      </c>
      <c r="Q122">
        <f>IF(J122&gt;=4,"High",IF(J122&gt;=3,"Medium","Low"))</f>
        <v>0</v>
      </c>
      <c r="R122">
        <f>IF(K122&lt;=5,"On Time","Delayed")</f>
        <v>0</v>
      </c>
    </row>
    <row r="123" spans="1:18">
      <c r="A123">
        <f>RAW_DATA!A123</f>
        <v>0</v>
      </c>
      <c r="B123">
        <f>RAW_DATA!B123</f>
        <v>0</v>
      </c>
      <c r="C123">
        <f>RAW_DATA!C123</f>
        <v>0</v>
      </c>
      <c r="D123">
        <f>RAW_DATA!D123</f>
        <v>0</v>
      </c>
      <c r="E123">
        <f>RAW_DATA!E123</f>
        <v>0</v>
      </c>
      <c r="F123">
        <f>RAW_DATA!F123</f>
        <v>0</v>
      </c>
      <c r="G123">
        <f>RAW_DATA!G123</f>
        <v>0</v>
      </c>
      <c r="H123">
        <f>RAW_DATA!H123</f>
        <v>0</v>
      </c>
      <c r="I123">
        <f>RAW_DATA!I123</f>
        <v>0</v>
      </c>
      <c r="J123">
        <f>RAW_DATA!J123</f>
        <v>0</v>
      </c>
      <c r="K123">
        <f>RAW_DATA!K123</f>
        <v>0</v>
      </c>
      <c r="L123">
        <f>RAW_DATA!L123</f>
        <v>0</v>
      </c>
      <c r="M123">
        <f>H123*I123</f>
        <v>0</v>
      </c>
      <c r="N123">
        <f>ISOWEEKNUM(B123)</f>
        <v>0</v>
      </c>
      <c r="O123">
        <f>TEXT(B123,"mmm")</f>
        <v>0</v>
      </c>
      <c r="P123">
        <f>"Q"&amp;ROUNDUP(MONTH(B123)/3,0)</f>
        <v>0</v>
      </c>
      <c r="Q123">
        <f>IF(J123&gt;=4,"High",IF(J123&gt;=3,"Medium","Low"))</f>
        <v>0</v>
      </c>
      <c r="R123">
        <f>IF(K123&lt;=5,"On Time","Delayed")</f>
        <v>0</v>
      </c>
    </row>
    <row r="124" spans="1:18">
      <c r="A124">
        <f>RAW_DATA!A124</f>
        <v>0</v>
      </c>
      <c r="B124">
        <f>RAW_DATA!B124</f>
        <v>0</v>
      </c>
      <c r="C124">
        <f>RAW_DATA!C124</f>
        <v>0</v>
      </c>
      <c r="D124">
        <f>RAW_DATA!D124</f>
        <v>0</v>
      </c>
      <c r="E124">
        <f>RAW_DATA!E124</f>
        <v>0</v>
      </c>
      <c r="F124">
        <f>RAW_DATA!F124</f>
        <v>0</v>
      </c>
      <c r="G124">
        <f>RAW_DATA!G124</f>
        <v>0</v>
      </c>
      <c r="H124">
        <f>RAW_DATA!H124</f>
        <v>0</v>
      </c>
      <c r="I124">
        <f>RAW_DATA!I124</f>
        <v>0</v>
      </c>
      <c r="J124">
        <f>RAW_DATA!J124</f>
        <v>0</v>
      </c>
      <c r="K124">
        <f>RAW_DATA!K124</f>
        <v>0</v>
      </c>
      <c r="L124">
        <f>RAW_DATA!L124</f>
        <v>0</v>
      </c>
      <c r="M124">
        <f>H124*I124</f>
        <v>0</v>
      </c>
      <c r="N124">
        <f>ISOWEEKNUM(B124)</f>
        <v>0</v>
      </c>
      <c r="O124">
        <f>TEXT(B124,"mmm")</f>
        <v>0</v>
      </c>
      <c r="P124">
        <f>"Q"&amp;ROUNDUP(MONTH(B124)/3,0)</f>
        <v>0</v>
      </c>
      <c r="Q124">
        <f>IF(J124&gt;=4,"High",IF(J124&gt;=3,"Medium","Low"))</f>
        <v>0</v>
      </c>
      <c r="R124">
        <f>IF(K124&lt;=5,"On Time","Delayed")</f>
        <v>0</v>
      </c>
    </row>
    <row r="125" spans="1:18">
      <c r="A125">
        <f>RAW_DATA!A125</f>
        <v>0</v>
      </c>
      <c r="B125">
        <f>RAW_DATA!B125</f>
        <v>0</v>
      </c>
      <c r="C125">
        <f>RAW_DATA!C125</f>
        <v>0</v>
      </c>
      <c r="D125">
        <f>RAW_DATA!D125</f>
        <v>0</v>
      </c>
      <c r="E125">
        <f>RAW_DATA!E125</f>
        <v>0</v>
      </c>
      <c r="F125">
        <f>RAW_DATA!F125</f>
        <v>0</v>
      </c>
      <c r="G125">
        <f>RAW_DATA!G125</f>
        <v>0</v>
      </c>
      <c r="H125">
        <f>RAW_DATA!H125</f>
        <v>0</v>
      </c>
      <c r="I125">
        <f>RAW_DATA!I125</f>
        <v>0</v>
      </c>
      <c r="J125">
        <f>RAW_DATA!J125</f>
        <v>0</v>
      </c>
      <c r="K125">
        <f>RAW_DATA!K125</f>
        <v>0</v>
      </c>
      <c r="L125">
        <f>RAW_DATA!L125</f>
        <v>0</v>
      </c>
      <c r="M125">
        <f>H125*I125</f>
        <v>0</v>
      </c>
      <c r="N125">
        <f>ISOWEEKNUM(B125)</f>
        <v>0</v>
      </c>
      <c r="O125">
        <f>TEXT(B125,"mmm")</f>
        <v>0</v>
      </c>
      <c r="P125">
        <f>"Q"&amp;ROUNDUP(MONTH(B125)/3,0)</f>
        <v>0</v>
      </c>
      <c r="Q125">
        <f>IF(J125&gt;=4,"High",IF(J125&gt;=3,"Medium","Low"))</f>
        <v>0</v>
      </c>
      <c r="R125">
        <f>IF(K125&lt;=5,"On Time","Delayed")</f>
        <v>0</v>
      </c>
    </row>
    <row r="126" spans="1:18">
      <c r="A126">
        <f>RAW_DATA!A126</f>
        <v>0</v>
      </c>
      <c r="B126">
        <f>RAW_DATA!B126</f>
        <v>0</v>
      </c>
      <c r="C126">
        <f>RAW_DATA!C126</f>
        <v>0</v>
      </c>
      <c r="D126">
        <f>RAW_DATA!D126</f>
        <v>0</v>
      </c>
      <c r="E126">
        <f>RAW_DATA!E126</f>
        <v>0</v>
      </c>
      <c r="F126">
        <f>RAW_DATA!F126</f>
        <v>0</v>
      </c>
      <c r="G126">
        <f>RAW_DATA!G126</f>
        <v>0</v>
      </c>
      <c r="H126">
        <f>RAW_DATA!H126</f>
        <v>0</v>
      </c>
      <c r="I126">
        <f>RAW_DATA!I126</f>
        <v>0</v>
      </c>
      <c r="J126">
        <f>RAW_DATA!J126</f>
        <v>0</v>
      </c>
      <c r="K126">
        <f>RAW_DATA!K126</f>
        <v>0</v>
      </c>
      <c r="L126">
        <f>RAW_DATA!L126</f>
        <v>0</v>
      </c>
      <c r="M126">
        <f>H126*I126</f>
        <v>0</v>
      </c>
      <c r="N126">
        <f>ISOWEEKNUM(B126)</f>
        <v>0</v>
      </c>
      <c r="O126">
        <f>TEXT(B126,"mmm")</f>
        <v>0</v>
      </c>
      <c r="P126">
        <f>"Q"&amp;ROUNDUP(MONTH(B126)/3,0)</f>
        <v>0</v>
      </c>
      <c r="Q126">
        <f>IF(J126&gt;=4,"High",IF(J126&gt;=3,"Medium","Low"))</f>
        <v>0</v>
      </c>
      <c r="R126">
        <f>IF(K126&lt;=5,"On Time","Delayed")</f>
        <v>0</v>
      </c>
    </row>
    <row r="127" spans="1:18">
      <c r="A127">
        <f>RAW_DATA!A127</f>
        <v>0</v>
      </c>
      <c r="B127">
        <f>RAW_DATA!B127</f>
        <v>0</v>
      </c>
      <c r="C127">
        <f>RAW_DATA!C127</f>
        <v>0</v>
      </c>
      <c r="D127">
        <f>RAW_DATA!D127</f>
        <v>0</v>
      </c>
      <c r="E127">
        <f>RAW_DATA!E127</f>
        <v>0</v>
      </c>
      <c r="F127">
        <f>RAW_DATA!F127</f>
        <v>0</v>
      </c>
      <c r="G127">
        <f>RAW_DATA!G127</f>
        <v>0</v>
      </c>
      <c r="H127">
        <f>RAW_DATA!H127</f>
        <v>0</v>
      </c>
      <c r="I127">
        <f>RAW_DATA!I127</f>
        <v>0</v>
      </c>
      <c r="J127">
        <f>RAW_DATA!J127</f>
        <v>0</v>
      </c>
      <c r="K127">
        <f>RAW_DATA!K127</f>
        <v>0</v>
      </c>
      <c r="L127">
        <f>RAW_DATA!L127</f>
        <v>0</v>
      </c>
      <c r="M127">
        <f>H127*I127</f>
        <v>0</v>
      </c>
      <c r="N127">
        <f>ISOWEEKNUM(B127)</f>
        <v>0</v>
      </c>
      <c r="O127">
        <f>TEXT(B127,"mmm")</f>
        <v>0</v>
      </c>
      <c r="P127">
        <f>"Q"&amp;ROUNDUP(MONTH(B127)/3,0)</f>
        <v>0</v>
      </c>
      <c r="Q127">
        <f>IF(J127&gt;=4,"High",IF(J127&gt;=3,"Medium","Low"))</f>
        <v>0</v>
      </c>
      <c r="R127">
        <f>IF(K127&lt;=5,"On Time","Delayed")</f>
        <v>0</v>
      </c>
    </row>
    <row r="128" spans="1:18">
      <c r="A128">
        <f>RAW_DATA!A128</f>
        <v>0</v>
      </c>
      <c r="B128">
        <f>RAW_DATA!B128</f>
        <v>0</v>
      </c>
      <c r="C128">
        <f>RAW_DATA!C128</f>
        <v>0</v>
      </c>
      <c r="D128">
        <f>RAW_DATA!D128</f>
        <v>0</v>
      </c>
      <c r="E128">
        <f>RAW_DATA!E128</f>
        <v>0</v>
      </c>
      <c r="F128">
        <f>RAW_DATA!F128</f>
        <v>0</v>
      </c>
      <c r="G128">
        <f>RAW_DATA!G128</f>
        <v>0</v>
      </c>
      <c r="H128">
        <f>RAW_DATA!H128</f>
        <v>0</v>
      </c>
      <c r="I128">
        <f>RAW_DATA!I128</f>
        <v>0</v>
      </c>
      <c r="J128">
        <f>RAW_DATA!J128</f>
        <v>0</v>
      </c>
      <c r="K128">
        <f>RAW_DATA!K128</f>
        <v>0</v>
      </c>
      <c r="L128">
        <f>RAW_DATA!L128</f>
        <v>0</v>
      </c>
      <c r="M128">
        <f>H128*I128</f>
        <v>0</v>
      </c>
      <c r="N128">
        <f>ISOWEEKNUM(B128)</f>
        <v>0</v>
      </c>
      <c r="O128">
        <f>TEXT(B128,"mmm")</f>
        <v>0</v>
      </c>
      <c r="P128">
        <f>"Q"&amp;ROUNDUP(MONTH(B128)/3,0)</f>
        <v>0</v>
      </c>
      <c r="Q128">
        <f>IF(J128&gt;=4,"High",IF(J128&gt;=3,"Medium","Low"))</f>
        <v>0</v>
      </c>
      <c r="R128">
        <f>IF(K128&lt;=5,"On Time","Delayed")</f>
        <v>0</v>
      </c>
    </row>
    <row r="129" spans="1:18">
      <c r="A129">
        <f>RAW_DATA!A129</f>
        <v>0</v>
      </c>
      <c r="B129">
        <f>RAW_DATA!B129</f>
        <v>0</v>
      </c>
      <c r="C129">
        <f>RAW_DATA!C129</f>
        <v>0</v>
      </c>
      <c r="D129">
        <f>RAW_DATA!D129</f>
        <v>0</v>
      </c>
      <c r="E129">
        <f>RAW_DATA!E129</f>
        <v>0</v>
      </c>
      <c r="F129">
        <f>RAW_DATA!F129</f>
        <v>0</v>
      </c>
      <c r="G129">
        <f>RAW_DATA!G129</f>
        <v>0</v>
      </c>
      <c r="H129">
        <f>RAW_DATA!H129</f>
        <v>0</v>
      </c>
      <c r="I129">
        <f>RAW_DATA!I129</f>
        <v>0</v>
      </c>
      <c r="J129">
        <f>RAW_DATA!J129</f>
        <v>0</v>
      </c>
      <c r="K129">
        <f>RAW_DATA!K129</f>
        <v>0</v>
      </c>
      <c r="L129">
        <f>RAW_DATA!L129</f>
        <v>0</v>
      </c>
      <c r="M129">
        <f>H129*I129</f>
        <v>0</v>
      </c>
      <c r="N129">
        <f>ISOWEEKNUM(B129)</f>
        <v>0</v>
      </c>
      <c r="O129">
        <f>TEXT(B129,"mmm")</f>
        <v>0</v>
      </c>
      <c r="P129">
        <f>"Q"&amp;ROUNDUP(MONTH(B129)/3,0)</f>
        <v>0</v>
      </c>
      <c r="Q129">
        <f>IF(J129&gt;=4,"High",IF(J129&gt;=3,"Medium","Low"))</f>
        <v>0</v>
      </c>
      <c r="R129">
        <f>IF(K129&lt;=5,"On Time","Delayed")</f>
        <v>0</v>
      </c>
    </row>
    <row r="130" spans="1:18">
      <c r="A130">
        <f>RAW_DATA!A130</f>
        <v>0</v>
      </c>
      <c r="B130">
        <f>RAW_DATA!B130</f>
        <v>0</v>
      </c>
      <c r="C130">
        <f>RAW_DATA!C130</f>
        <v>0</v>
      </c>
      <c r="D130">
        <f>RAW_DATA!D130</f>
        <v>0</v>
      </c>
      <c r="E130">
        <f>RAW_DATA!E130</f>
        <v>0</v>
      </c>
      <c r="F130">
        <f>RAW_DATA!F130</f>
        <v>0</v>
      </c>
      <c r="G130">
        <f>RAW_DATA!G130</f>
        <v>0</v>
      </c>
      <c r="H130">
        <f>RAW_DATA!H130</f>
        <v>0</v>
      </c>
      <c r="I130">
        <f>RAW_DATA!I130</f>
        <v>0</v>
      </c>
      <c r="J130">
        <f>RAW_DATA!J130</f>
        <v>0</v>
      </c>
      <c r="K130">
        <f>RAW_DATA!K130</f>
        <v>0</v>
      </c>
      <c r="L130">
        <f>RAW_DATA!L130</f>
        <v>0</v>
      </c>
      <c r="M130">
        <f>H130*I130</f>
        <v>0</v>
      </c>
      <c r="N130">
        <f>ISOWEEKNUM(B130)</f>
        <v>0</v>
      </c>
      <c r="O130">
        <f>TEXT(B130,"mmm")</f>
        <v>0</v>
      </c>
      <c r="P130">
        <f>"Q"&amp;ROUNDUP(MONTH(B130)/3,0)</f>
        <v>0</v>
      </c>
      <c r="Q130">
        <f>IF(J130&gt;=4,"High",IF(J130&gt;=3,"Medium","Low"))</f>
        <v>0</v>
      </c>
      <c r="R130">
        <f>IF(K130&lt;=5,"On Time","Delayed")</f>
        <v>0</v>
      </c>
    </row>
    <row r="131" spans="1:18">
      <c r="A131">
        <f>RAW_DATA!A131</f>
        <v>0</v>
      </c>
      <c r="B131">
        <f>RAW_DATA!B131</f>
        <v>0</v>
      </c>
      <c r="C131">
        <f>RAW_DATA!C131</f>
        <v>0</v>
      </c>
      <c r="D131">
        <f>RAW_DATA!D131</f>
        <v>0</v>
      </c>
      <c r="E131">
        <f>RAW_DATA!E131</f>
        <v>0</v>
      </c>
      <c r="F131">
        <f>RAW_DATA!F131</f>
        <v>0</v>
      </c>
      <c r="G131">
        <f>RAW_DATA!G131</f>
        <v>0</v>
      </c>
      <c r="H131">
        <f>RAW_DATA!H131</f>
        <v>0</v>
      </c>
      <c r="I131">
        <f>RAW_DATA!I131</f>
        <v>0</v>
      </c>
      <c r="J131">
        <f>RAW_DATA!J131</f>
        <v>0</v>
      </c>
      <c r="K131">
        <f>RAW_DATA!K131</f>
        <v>0</v>
      </c>
      <c r="L131">
        <f>RAW_DATA!L131</f>
        <v>0</v>
      </c>
      <c r="M131">
        <f>H131*I131</f>
        <v>0</v>
      </c>
      <c r="N131">
        <f>ISOWEEKNUM(B131)</f>
        <v>0</v>
      </c>
      <c r="O131">
        <f>TEXT(B131,"mmm")</f>
        <v>0</v>
      </c>
      <c r="P131">
        <f>"Q"&amp;ROUNDUP(MONTH(B131)/3,0)</f>
        <v>0</v>
      </c>
      <c r="Q131">
        <f>IF(J131&gt;=4,"High",IF(J131&gt;=3,"Medium","Low"))</f>
        <v>0</v>
      </c>
      <c r="R131">
        <f>IF(K131&lt;=5,"On Time","Delayed")</f>
        <v>0</v>
      </c>
    </row>
    <row r="132" spans="1:18">
      <c r="A132">
        <f>RAW_DATA!A132</f>
        <v>0</v>
      </c>
      <c r="B132">
        <f>RAW_DATA!B132</f>
        <v>0</v>
      </c>
      <c r="C132">
        <f>RAW_DATA!C132</f>
        <v>0</v>
      </c>
      <c r="D132">
        <f>RAW_DATA!D132</f>
        <v>0</v>
      </c>
      <c r="E132">
        <f>RAW_DATA!E132</f>
        <v>0</v>
      </c>
      <c r="F132">
        <f>RAW_DATA!F132</f>
        <v>0</v>
      </c>
      <c r="G132">
        <f>RAW_DATA!G132</f>
        <v>0</v>
      </c>
      <c r="H132">
        <f>RAW_DATA!H132</f>
        <v>0</v>
      </c>
      <c r="I132">
        <f>RAW_DATA!I132</f>
        <v>0</v>
      </c>
      <c r="J132">
        <f>RAW_DATA!J132</f>
        <v>0</v>
      </c>
      <c r="K132">
        <f>RAW_DATA!K132</f>
        <v>0</v>
      </c>
      <c r="L132">
        <f>RAW_DATA!L132</f>
        <v>0</v>
      </c>
      <c r="M132">
        <f>H132*I132</f>
        <v>0</v>
      </c>
      <c r="N132">
        <f>ISOWEEKNUM(B132)</f>
        <v>0</v>
      </c>
      <c r="O132">
        <f>TEXT(B132,"mmm")</f>
        <v>0</v>
      </c>
      <c r="P132">
        <f>"Q"&amp;ROUNDUP(MONTH(B132)/3,0)</f>
        <v>0</v>
      </c>
      <c r="Q132">
        <f>IF(J132&gt;=4,"High",IF(J132&gt;=3,"Medium","Low"))</f>
        <v>0</v>
      </c>
      <c r="R132">
        <f>IF(K132&lt;=5,"On Time","Delayed")</f>
        <v>0</v>
      </c>
    </row>
    <row r="133" spans="1:18">
      <c r="A133">
        <f>RAW_DATA!A133</f>
        <v>0</v>
      </c>
      <c r="B133">
        <f>RAW_DATA!B133</f>
        <v>0</v>
      </c>
      <c r="C133">
        <f>RAW_DATA!C133</f>
        <v>0</v>
      </c>
      <c r="D133">
        <f>RAW_DATA!D133</f>
        <v>0</v>
      </c>
      <c r="E133">
        <f>RAW_DATA!E133</f>
        <v>0</v>
      </c>
      <c r="F133">
        <f>RAW_DATA!F133</f>
        <v>0</v>
      </c>
      <c r="G133">
        <f>RAW_DATA!G133</f>
        <v>0</v>
      </c>
      <c r="H133">
        <f>RAW_DATA!H133</f>
        <v>0</v>
      </c>
      <c r="I133">
        <f>RAW_DATA!I133</f>
        <v>0</v>
      </c>
      <c r="J133">
        <f>RAW_DATA!J133</f>
        <v>0</v>
      </c>
      <c r="K133">
        <f>RAW_DATA!K133</f>
        <v>0</v>
      </c>
      <c r="L133">
        <f>RAW_DATA!L133</f>
        <v>0</v>
      </c>
      <c r="M133">
        <f>H133*I133</f>
        <v>0</v>
      </c>
      <c r="N133">
        <f>ISOWEEKNUM(B133)</f>
        <v>0</v>
      </c>
      <c r="O133">
        <f>TEXT(B133,"mmm")</f>
        <v>0</v>
      </c>
      <c r="P133">
        <f>"Q"&amp;ROUNDUP(MONTH(B133)/3,0)</f>
        <v>0</v>
      </c>
      <c r="Q133">
        <f>IF(J133&gt;=4,"High",IF(J133&gt;=3,"Medium","Low"))</f>
        <v>0</v>
      </c>
      <c r="R133">
        <f>IF(K133&lt;=5,"On Time","Delayed")</f>
        <v>0</v>
      </c>
    </row>
    <row r="134" spans="1:18">
      <c r="A134">
        <f>RAW_DATA!A134</f>
        <v>0</v>
      </c>
      <c r="B134">
        <f>RAW_DATA!B134</f>
        <v>0</v>
      </c>
      <c r="C134">
        <f>RAW_DATA!C134</f>
        <v>0</v>
      </c>
      <c r="D134">
        <f>RAW_DATA!D134</f>
        <v>0</v>
      </c>
      <c r="E134">
        <f>RAW_DATA!E134</f>
        <v>0</v>
      </c>
      <c r="F134">
        <f>RAW_DATA!F134</f>
        <v>0</v>
      </c>
      <c r="G134">
        <f>RAW_DATA!G134</f>
        <v>0</v>
      </c>
      <c r="H134">
        <f>RAW_DATA!H134</f>
        <v>0</v>
      </c>
      <c r="I134">
        <f>RAW_DATA!I134</f>
        <v>0</v>
      </c>
      <c r="J134">
        <f>RAW_DATA!J134</f>
        <v>0</v>
      </c>
      <c r="K134">
        <f>RAW_DATA!K134</f>
        <v>0</v>
      </c>
      <c r="L134">
        <f>RAW_DATA!L134</f>
        <v>0</v>
      </c>
      <c r="M134">
        <f>H134*I134</f>
        <v>0</v>
      </c>
      <c r="N134">
        <f>ISOWEEKNUM(B134)</f>
        <v>0</v>
      </c>
      <c r="O134">
        <f>TEXT(B134,"mmm")</f>
        <v>0</v>
      </c>
      <c r="P134">
        <f>"Q"&amp;ROUNDUP(MONTH(B134)/3,0)</f>
        <v>0</v>
      </c>
      <c r="Q134">
        <f>IF(J134&gt;=4,"High",IF(J134&gt;=3,"Medium","Low"))</f>
        <v>0</v>
      </c>
      <c r="R134">
        <f>IF(K134&lt;=5,"On Time","Delayed")</f>
        <v>0</v>
      </c>
    </row>
    <row r="135" spans="1:18">
      <c r="A135">
        <f>RAW_DATA!A135</f>
        <v>0</v>
      </c>
      <c r="B135">
        <f>RAW_DATA!B135</f>
        <v>0</v>
      </c>
      <c r="C135">
        <f>RAW_DATA!C135</f>
        <v>0</v>
      </c>
      <c r="D135">
        <f>RAW_DATA!D135</f>
        <v>0</v>
      </c>
      <c r="E135">
        <f>RAW_DATA!E135</f>
        <v>0</v>
      </c>
      <c r="F135">
        <f>RAW_DATA!F135</f>
        <v>0</v>
      </c>
      <c r="G135">
        <f>RAW_DATA!G135</f>
        <v>0</v>
      </c>
      <c r="H135">
        <f>RAW_DATA!H135</f>
        <v>0</v>
      </c>
      <c r="I135">
        <f>RAW_DATA!I135</f>
        <v>0</v>
      </c>
      <c r="J135">
        <f>RAW_DATA!J135</f>
        <v>0</v>
      </c>
      <c r="K135">
        <f>RAW_DATA!K135</f>
        <v>0</v>
      </c>
      <c r="L135">
        <f>RAW_DATA!L135</f>
        <v>0</v>
      </c>
      <c r="M135">
        <f>H135*I135</f>
        <v>0</v>
      </c>
      <c r="N135">
        <f>ISOWEEKNUM(B135)</f>
        <v>0</v>
      </c>
      <c r="O135">
        <f>TEXT(B135,"mmm")</f>
        <v>0</v>
      </c>
      <c r="P135">
        <f>"Q"&amp;ROUNDUP(MONTH(B135)/3,0)</f>
        <v>0</v>
      </c>
      <c r="Q135">
        <f>IF(J135&gt;=4,"High",IF(J135&gt;=3,"Medium","Low"))</f>
        <v>0</v>
      </c>
      <c r="R135">
        <f>IF(K135&lt;=5,"On Time","Delayed")</f>
        <v>0</v>
      </c>
    </row>
    <row r="136" spans="1:18">
      <c r="A136">
        <f>RAW_DATA!A136</f>
        <v>0</v>
      </c>
      <c r="B136">
        <f>RAW_DATA!B136</f>
        <v>0</v>
      </c>
      <c r="C136">
        <f>RAW_DATA!C136</f>
        <v>0</v>
      </c>
      <c r="D136">
        <f>RAW_DATA!D136</f>
        <v>0</v>
      </c>
      <c r="E136">
        <f>RAW_DATA!E136</f>
        <v>0</v>
      </c>
      <c r="F136">
        <f>RAW_DATA!F136</f>
        <v>0</v>
      </c>
      <c r="G136">
        <f>RAW_DATA!G136</f>
        <v>0</v>
      </c>
      <c r="H136">
        <f>RAW_DATA!H136</f>
        <v>0</v>
      </c>
      <c r="I136">
        <f>RAW_DATA!I136</f>
        <v>0</v>
      </c>
      <c r="J136">
        <f>RAW_DATA!J136</f>
        <v>0</v>
      </c>
      <c r="K136">
        <f>RAW_DATA!K136</f>
        <v>0</v>
      </c>
      <c r="L136">
        <f>RAW_DATA!L136</f>
        <v>0</v>
      </c>
      <c r="M136">
        <f>H136*I136</f>
        <v>0</v>
      </c>
      <c r="N136">
        <f>ISOWEEKNUM(B136)</f>
        <v>0</v>
      </c>
      <c r="O136">
        <f>TEXT(B136,"mmm")</f>
        <v>0</v>
      </c>
      <c r="P136">
        <f>"Q"&amp;ROUNDUP(MONTH(B136)/3,0)</f>
        <v>0</v>
      </c>
      <c r="Q136">
        <f>IF(J136&gt;=4,"High",IF(J136&gt;=3,"Medium","Low"))</f>
        <v>0</v>
      </c>
      <c r="R136">
        <f>IF(K136&lt;=5,"On Time","Delayed")</f>
        <v>0</v>
      </c>
    </row>
    <row r="137" spans="1:18">
      <c r="A137">
        <f>RAW_DATA!A137</f>
        <v>0</v>
      </c>
      <c r="B137">
        <f>RAW_DATA!B137</f>
        <v>0</v>
      </c>
      <c r="C137">
        <f>RAW_DATA!C137</f>
        <v>0</v>
      </c>
      <c r="D137">
        <f>RAW_DATA!D137</f>
        <v>0</v>
      </c>
      <c r="E137">
        <f>RAW_DATA!E137</f>
        <v>0</v>
      </c>
      <c r="F137">
        <f>RAW_DATA!F137</f>
        <v>0</v>
      </c>
      <c r="G137">
        <f>RAW_DATA!G137</f>
        <v>0</v>
      </c>
      <c r="H137">
        <f>RAW_DATA!H137</f>
        <v>0</v>
      </c>
      <c r="I137">
        <f>RAW_DATA!I137</f>
        <v>0</v>
      </c>
      <c r="J137">
        <f>RAW_DATA!J137</f>
        <v>0</v>
      </c>
      <c r="K137">
        <f>RAW_DATA!K137</f>
        <v>0</v>
      </c>
      <c r="L137">
        <f>RAW_DATA!L137</f>
        <v>0</v>
      </c>
      <c r="M137">
        <f>H137*I137</f>
        <v>0</v>
      </c>
      <c r="N137">
        <f>ISOWEEKNUM(B137)</f>
        <v>0</v>
      </c>
      <c r="O137">
        <f>TEXT(B137,"mmm")</f>
        <v>0</v>
      </c>
      <c r="P137">
        <f>"Q"&amp;ROUNDUP(MONTH(B137)/3,0)</f>
        <v>0</v>
      </c>
      <c r="Q137">
        <f>IF(J137&gt;=4,"High",IF(J137&gt;=3,"Medium","Low"))</f>
        <v>0</v>
      </c>
      <c r="R137">
        <f>IF(K137&lt;=5,"On Time","Delayed")</f>
        <v>0</v>
      </c>
    </row>
    <row r="138" spans="1:18">
      <c r="A138">
        <f>RAW_DATA!A138</f>
        <v>0</v>
      </c>
      <c r="B138">
        <f>RAW_DATA!B138</f>
        <v>0</v>
      </c>
      <c r="C138">
        <f>RAW_DATA!C138</f>
        <v>0</v>
      </c>
      <c r="D138">
        <f>RAW_DATA!D138</f>
        <v>0</v>
      </c>
      <c r="E138">
        <f>RAW_DATA!E138</f>
        <v>0</v>
      </c>
      <c r="F138">
        <f>RAW_DATA!F138</f>
        <v>0</v>
      </c>
      <c r="G138">
        <f>RAW_DATA!G138</f>
        <v>0</v>
      </c>
      <c r="H138">
        <f>RAW_DATA!H138</f>
        <v>0</v>
      </c>
      <c r="I138">
        <f>RAW_DATA!I138</f>
        <v>0</v>
      </c>
      <c r="J138">
        <f>RAW_DATA!J138</f>
        <v>0</v>
      </c>
      <c r="K138">
        <f>RAW_DATA!K138</f>
        <v>0</v>
      </c>
      <c r="L138">
        <f>RAW_DATA!L138</f>
        <v>0</v>
      </c>
      <c r="M138">
        <f>H138*I138</f>
        <v>0</v>
      </c>
      <c r="N138">
        <f>ISOWEEKNUM(B138)</f>
        <v>0</v>
      </c>
      <c r="O138">
        <f>TEXT(B138,"mmm")</f>
        <v>0</v>
      </c>
      <c r="P138">
        <f>"Q"&amp;ROUNDUP(MONTH(B138)/3,0)</f>
        <v>0</v>
      </c>
      <c r="Q138">
        <f>IF(J138&gt;=4,"High",IF(J138&gt;=3,"Medium","Low"))</f>
        <v>0</v>
      </c>
      <c r="R138">
        <f>IF(K138&lt;=5,"On Time","Delayed")</f>
        <v>0</v>
      </c>
    </row>
    <row r="139" spans="1:18">
      <c r="A139">
        <f>RAW_DATA!A139</f>
        <v>0</v>
      </c>
      <c r="B139">
        <f>RAW_DATA!B139</f>
        <v>0</v>
      </c>
      <c r="C139">
        <f>RAW_DATA!C139</f>
        <v>0</v>
      </c>
      <c r="D139">
        <f>RAW_DATA!D139</f>
        <v>0</v>
      </c>
      <c r="E139">
        <f>RAW_DATA!E139</f>
        <v>0</v>
      </c>
      <c r="F139">
        <f>RAW_DATA!F139</f>
        <v>0</v>
      </c>
      <c r="G139">
        <f>RAW_DATA!G139</f>
        <v>0</v>
      </c>
      <c r="H139">
        <f>RAW_DATA!H139</f>
        <v>0</v>
      </c>
      <c r="I139">
        <f>RAW_DATA!I139</f>
        <v>0</v>
      </c>
      <c r="J139">
        <f>RAW_DATA!J139</f>
        <v>0</v>
      </c>
      <c r="K139">
        <f>RAW_DATA!K139</f>
        <v>0</v>
      </c>
      <c r="L139">
        <f>RAW_DATA!L139</f>
        <v>0</v>
      </c>
      <c r="M139">
        <f>H139*I139</f>
        <v>0</v>
      </c>
      <c r="N139">
        <f>ISOWEEKNUM(B139)</f>
        <v>0</v>
      </c>
      <c r="O139">
        <f>TEXT(B139,"mmm")</f>
        <v>0</v>
      </c>
      <c r="P139">
        <f>"Q"&amp;ROUNDUP(MONTH(B139)/3,0)</f>
        <v>0</v>
      </c>
      <c r="Q139">
        <f>IF(J139&gt;=4,"High",IF(J139&gt;=3,"Medium","Low"))</f>
        <v>0</v>
      </c>
      <c r="R139">
        <f>IF(K139&lt;=5,"On Time","Delayed")</f>
        <v>0</v>
      </c>
    </row>
    <row r="140" spans="1:18">
      <c r="A140">
        <f>RAW_DATA!A140</f>
        <v>0</v>
      </c>
      <c r="B140">
        <f>RAW_DATA!B140</f>
        <v>0</v>
      </c>
      <c r="C140">
        <f>RAW_DATA!C140</f>
        <v>0</v>
      </c>
      <c r="D140">
        <f>RAW_DATA!D140</f>
        <v>0</v>
      </c>
      <c r="E140">
        <f>RAW_DATA!E140</f>
        <v>0</v>
      </c>
      <c r="F140">
        <f>RAW_DATA!F140</f>
        <v>0</v>
      </c>
      <c r="G140">
        <f>RAW_DATA!G140</f>
        <v>0</v>
      </c>
      <c r="H140">
        <f>RAW_DATA!H140</f>
        <v>0</v>
      </c>
      <c r="I140">
        <f>RAW_DATA!I140</f>
        <v>0</v>
      </c>
      <c r="J140">
        <f>RAW_DATA!J140</f>
        <v>0</v>
      </c>
      <c r="K140">
        <f>RAW_DATA!K140</f>
        <v>0</v>
      </c>
      <c r="L140">
        <f>RAW_DATA!L140</f>
        <v>0</v>
      </c>
      <c r="M140">
        <f>H140*I140</f>
        <v>0</v>
      </c>
      <c r="N140">
        <f>ISOWEEKNUM(B140)</f>
        <v>0</v>
      </c>
      <c r="O140">
        <f>TEXT(B140,"mmm")</f>
        <v>0</v>
      </c>
      <c r="P140">
        <f>"Q"&amp;ROUNDUP(MONTH(B140)/3,0)</f>
        <v>0</v>
      </c>
      <c r="Q140">
        <f>IF(J140&gt;=4,"High",IF(J140&gt;=3,"Medium","Low"))</f>
        <v>0</v>
      </c>
      <c r="R140">
        <f>IF(K140&lt;=5,"On Time","Delayed")</f>
        <v>0</v>
      </c>
    </row>
    <row r="141" spans="1:18">
      <c r="A141">
        <f>RAW_DATA!A141</f>
        <v>0</v>
      </c>
      <c r="B141">
        <f>RAW_DATA!B141</f>
        <v>0</v>
      </c>
      <c r="C141">
        <f>RAW_DATA!C141</f>
        <v>0</v>
      </c>
      <c r="D141">
        <f>RAW_DATA!D141</f>
        <v>0</v>
      </c>
      <c r="E141">
        <f>RAW_DATA!E141</f>
        <v>0</v>
      </c>
      <c r="F141">
        <f>RAW_DATA!F141</f>
        <v>0</v>
      </c>
      <c r="G141">
        <f>RAW_DATA!G141</f>
        <v>0</v>
      </c>
      <c r="H141">
        <f>RAW_DATA!H141</f>
        <v>0</v>
      </c>
      <c r="I141">
        <f>RAW_DATA!I141</f>
        <v>0</v>
      </c>
      <c r="J141">
        <f>RAW_DATA!J141</f>
        <v>0</v>
      </c>
      <c r="K141">
        <f>RAW_DATA!K141</f>
        <v>0</v>
      </c>
      <c r="L141">
        <f>RAW_DATA!L141</f>
        <v>0</v>
      </c>
      <c r="M141">
        <f>H141*I141</f>
        <v>0</v>
      </c>
      <c r="N141">
        <f>ISOWEEKNUM(B141)</f>
        <v>0</v>
      </c>
      <c r="O141">
        <f>TEXT(B141,"mmm")</f>
        <v>0</v>
      </c>
      <c r="P141">
        <f>"Q"&amp;ROUNDUP(MONTH(B141)/3,0)</f>
        <v>0</v>
      </c>
      <c r="Q141">
        <f>IF(J141&gt;=4,"High",IF(J141&gt;=3,"Medium","Low"))</f>
        <v>0</v>
      </c>
      <c r="R141">
        <f>IF(K141&lt;=5,"On Time","Delayed")</f>
        <v>0</v>
      </c>
    </row>
    <row r="142" spans="1:18">
      <c r="A142">
        <f>RAW_DATA!A142</f>
        <v>0</v>
      </c>
      <c r="B142">
        <f>RAW_DATA!B142</f>
        <v>0</v>
      </c>
      <c r="C142">
        <f>RAW_DATA!C142</f>
        <v>0</v>
      </c>
      <c r="D142">
        <f>RAW_DATA!D142</f>
        <v>0</v>
      </c>
      <c r="E142">
        <f>RAW_DATA!E142</f>
        <v>0</v>
      </c>
      <c r="F142">
        <f>RAW_DATA!F142</f>
        <v>0</v>
      </c>
      <c r="G142">
        <f>RAW_DATA!G142</f>
        <v>0</v>
      </c>
      <c r="H142">
        <f>RAW_DATA!H142</f>
        <v>0</v>
      </c>
      <c r="I142">
        <f>RAW_DATA!I142</f>
        <v>0</v>
      </c>
      <c r="J142">
        <f>RAW_DATA!J142</f>
        <v>0</v>
      </c>
      <c r="K142">
        <f>RAW_DATA!K142</f>
        <v>0</v>
      </c>
      <c r="L142">
        <f>RAW_DATA!L142</f>
        <v>0</v>
      </c>
      <c r="M142">
        <f>H142*I142</f>
        <v>0</v>
      </c>
      <c r="N142">
        <f>ISOWEEKNUM(B142)</f>
        <v>0</v>
      </c>
      <c r="O142">
        <f>TEXT(B142,"mmm")</f>
        <v>0</v>
      </c>
      <c r="P142">
        <f>"Q"&amp;ROUNDUP(MONTH(B142)/3,0)</f>
        <v>0</v>
      </c>
      <c r="Q142">
        <f>IF(J142&gt;=4,"High",IF(J142&gt;=3,"Medium","Low"))</f>
        <v>0</v>
      </c>
      <c r="R142">
        <f>IF(K142&lt;=5,"On Time","Delayed")</f>
        <v>0</v>
      </c>
    </row>
    <row r="143" spans="1:18">
      <c r="A143">
        <f>RAW_DATA!A143</f>
        <v>0</v>
      </c>
      <c r="B143">
        <f>RAW_DATA!B143</f>
        <v>0</v>
      </c>
      <c r="C143">
        <f>RAW_DATA!C143</f>
        <v>0</v>
      </c>
      <c r="D143">
        <f>RAW_DATA!D143</f>
        <v>0</v>
      </c>
      <c r="E143">
        <f>RAW_DATA!E143</f>
        <v>0</v>
      </c>
      <c r="F143">
        <f>RAW_DATA!F143</f>
        <v>0</v>
      </c>
      <c r="G143">
        <f>RAW_DATA!G143</f>
        <v>0</v>
      </c>
      <c r="H143">
        <f>RAW_DATA!H143</f>
        <v>0</v>
      </c>
      <c r="I143">
        <f>RAW_DATA!I143</f>
        <v>0</v>
      </c>
      <c r="J143">
        <f>RAW_DATA!J143</f>
        <v>0</v>
      </c>
      <c r="K143">
        <f>RAW_DATA!K143</f>
        <v>0</v>
      </c>
      <c r="L143">
        <f>RAW_DATA!L143</f>
        <v>0</v>
      </c>
      <c r="M143">
        <f>H143*I143</f>
        <v>0</v>
      </c>
      <c r="N143">
        <f>ISOWEEKNUM(B143)</f>
        <v>0</v>
      </c>
      <c r="O143">
        <f>TEXT(B143,"mmm")</f>
        <v>0</v>
      </c>
      <c r="P143">
        <f>"Q"&amp;ROUNDUP(MONTH(B143)/3,0)</f>
        <v>0</v>
      </c>
      <c r="Q143">
        <f>IF(J143&gt;=4,"High",IF(J143&gt;=3,"Medium","Low"))</f>
        <v>0</v>
      </c>
      <c r="R143">
        <f>IF(K143&lt;=5,"On Time","Delayed")</f>
        <v>0</v>
      </c>
    </row>
    <row r="144" spans="1:18">
      <c r="A144">
        <f>RAW_DATA!A144</f>
        <v>0</v>
      </c>
      <c r="B144">
        <f>RAW_DATA!B144</f>
        <v>0</v>
      </c>
      <c r="C144">
        <f>RAW_DATA!C144</f>
        <v>0</v>
      </c>
      <c r="D144">
        <f>RAW_DATA!D144</f>
        <v>0</v>
      </c>
      <c r="E144">
        <f>RAW_DATA!E144</f>
        <v>0</v>
      </c>
      <c r="F144">
        <f>RAW_DATA!F144</f>
        <v>0</v>
      </c>
      <c r="G144">
        <f>RAW_DATA!G144</f>
        <v>0</v>
      </c>
      <c r="H144">
        <f>RAW_DATA!H144</f>
        <v>0</v>
      </c>
      <c r="I144">
        <f>RAW_DATA!I144</f>
        <v>0</v>
      </c>
      <c r="J144">
        <f>RAW_DATA!J144</f>
        <v>0</v>
      </c>
      <c r="K144">
        <f>RAW_DATA!K144</f>
        <v>0</v>
      </c>
      <c r="L144">
        <f>RAW_DATA!L144</f>
        <v>0</v>
      </c>
      <c r="M144">
        <f>H144*I144</f>
        <v>0</v>
      </c>
      <c r="N144">
        <f>ISOWEEKNUM(B144)</f>
        <v>0</v>
      </c>
      <c r="O144">
        <f>TEXT(B144,"mmm")</f>
        <v>0</v>
      </c>
      <c r="P144">
        <f>"Q"&amp;ROUNDUP(MONTH(B144)/3,0)</f>
        <v>0</v>
      </c>
      <c r="Q144">
        <f>IF(J144&gt;=4,"High",IF(J144&gt;=3,"Medium","Low"))</f>
        <v>0</v>
      </c>
      <c r="R144">
        <f>IF(K144&lt;=5,"On Time","Delayed")</f>
        <v>0</v>
      </c>
    </row>
    <row r="145" spans="1:18">
      <c r="A145">
        <f>RAW_DATA!A145</f>
        <v>0</v>
      </c>
      <c r="B145">
        <f>RAW_DATA!B145</f>
        <v>0</v>
      </c>
      <c r="C145">
        <f>RAW_DATA!C145</f>
        <v>0</v>
      </c>
      <c r="D145">
        <f>RAW_DATA!D145</f>
        <v>0</v>
      </c>
      <c r="E145">
        <f>RAW_DATA!E145</f>
        <v>0</v>
      </c>
      <c r="F145">
        <f>RAW_DATA!F145</f>
        <v>0</v>
      </c>
      <c r="G145">
        <f>RAW_DATA!G145</f>
        <v>0</v>
      </c>
      <c r="H145">
        <f>RAW_DATA!H145</f>
        <v>0</v>
      </c>
      <c r="I145">
        <f>RAW_DATA!I145</f>
        <v>0</v>
      </c>
      <c r="J145">
        <f>RAW_DATA!J145</f>
        <v>0</v>
      </c>
      <c r="K145">
        <f>RAW_DATA!K145</f>
        <v>0</v>
      </c>
      <c r="L145">
        <f>RAW_DATA!L145</f>
        <v>0</v>
      </c>
      <c r="M145">
        <f>H145*I145</f>
        <v>0</v>
      </c>
      <c r="N145">
        <f>ISOWEEKNUM(B145)</f>
        <v>0</v>
      </c>
      <c r="O145">
        <f>TEXT(B145,"mmm")</f>
        <v>0</v>
      </c>
      <c r="P145">
        <f>"Q"&amp;ROUNDUP(MONTH(B145)/3,0)</f>
        <v>0</v>
      </c>
      <c r="Q145">
        <f>IF(J145&gt;=4,"High",IF(J145&gt;=3,"Medium","Low"))</f>
        <v>0</v>
      </c>
      <c r="R145">
        <f>IF(K145&lt;=5,"On Time","Delayed")</f>
        <v>0</v>
      </c>
    </row>
    <row r="146" spans="1:18">
      <c r="A146">
        <f>RAW_DATA!A146</f>
        <v>0</v>
      </c>
      <c r="B146">
        <f>RAW_DATA!B146</f>
        <v>0</v>
      </c>
      <c r="C146">
        <f>RAW_DATA!C146</f>
        <v>0</v>
      </c>
      <c r="D146">
        <f>RAW_DATA!D146</f>
        <v>0</v>
      </c>
      <c r="E146">
        <f>RAW_DATA!E146</f>
        <v>0</v>
      </c>
      <c r="F146">
        <f>RAW_DATA!F146</f>
        <v>0</v>
      </c>
      <c r="G146">
        <f>RAW_DATA!G146</f>
        <v>0</v>
      </c>
      <c r="H146">
        <f>RAW_DATA!H146</f>
        <v>0</v>
      </c>
      <c r="I146">
        <f>RAW_DATA!I146</f>
        <v>0</v>
      </c>
      <c r="J146">
        <f>RAW_DATA!J146</f>
        <v>0</v>
      </c>
      <c r="K146">
        <f>RAW_DATA!K146</f>
        <v>0</v>
      </c>
      <c r="L146">
        <f>RAW_DATA!L146</f>
        <v>0</v>
      </c>
      <c r="M146">
        <f>H146*I146</f>
        <v>0</v>
      </c>
      <c r="N146">
        <f>ISOWEEKNUM(B146)</f>
        <v>0</v>
      </c>
      <c r="O146">
        <f>TEXT(B146,"mmm")</f>
        <v>0</v>
      </c>
      <c r="P146">
        <f>"Q"&amp;ROUNDUP(MONTH(B146)/3,0)</f>
        <v>0</v>
      </c>
      <c r="Q146">
        <f>IF(J146&gt;=4,"High",IF(J146&gt;=3,"Medium","Low"))</f>
        <v>0</v>
      </c>
      <c r="R146">
        <f>IF(K146&lt;=5,"On Time","Delayed")</f>
        <v>0</v>
      </c>
    </row>
    <row r="147" spans="1:18">
      <c r="A147">
        <f>RAW_DATA!A147</f>
        <v>0</v>
      </c>
      <c r="B147">
        <f>RAW_DATA!B147</f>
        <v>0</v>
      </c>
      <c r="C147">
        <f>RAW_DATA!C147</f>
        <v>0</v>
      </c>
      <c r="D147">
        <f>RAW_DATA!D147</f>
        <v>0</v>
      </c>
      <c r="E147">
        <f>RAW_DATA!E147</f>
        <v>0</v>
      </c>
      <c r="F147">
        <f>RAW_DATA!F147</f>
        <v>0</v>
      </c>
      <c r="G147">
        <f>RAW_DATA!G147</f>
        <v>0</v>
      </c>
      <c r="H147">
        <f>RAW_DATA!H147</f>
        <v>0</v>
      </c>
      <c r="I147">
        <f>RAW_DATA!I147</f>
        <v>0</v>
      </c>
      <c r="J147">
        <f>RAW_DATA!J147</f>
        <v>0</v>
      </c>
      <c r="K147">
        <f>RAW_DATA!K147</f>
        <v>0</v>
      </c>
      <c r="L147">
        <f>RAW_DATA!L147</f>
        <v>0</v>
      </c>
      <c r="M147">
        <f>H147*I147</f>
        <v>0</v>
      </c>
      <c r="N147">
        <f>ISOWEEKNUM(B147)</f>
        <v>0</v>
      </c>
      <c r="O147">
        <f>TEXT(B147,"mmm")</f>
        <v>0</v>
      </c>
      <c r="P147">
        <f>"Q"&amp;ROUNDUP(MONTH(B147)/3,0)</f>
        <v>0</v>
      </c>
      <c r="Q147">
        <f>IF(J147&gt;=4,"High",IF(J147&gt;=3,"Medium","Low"))</f>
        <v>0</v>
      </c>
      <c r="R147">
        <f>IF(K147&lt;=5,"On Time","Delayed")</f>
        <v>0</v>
      </c>
    </row>
    <row r="148" spans="1:18">
      <c r="A148">
        <f>RAW_DATA!A148</f>
        <v>0</v>
      </c>
      <c r="B148">
        <f>RAW_DATA!B148</f>
        <v>0</v>
      </c>
      <c r="C148">
        <f>RAW_DATA!C148</f>
        <v>0</v>
      </c>
      <c r="D148">
        <f>RAW_DATA!D148</f>
        <v>0</v>
      </c>
      <c r="E148">
        <f>RAW_DATA!E148</f>
        <v>0</v>
      </c>
      <c r="F148">
        <f>RAW_DATA!F148</f>
        <v>0</v>
      </c>
      <c r="G148">
        <f>RAW_DATA!G148</f>
        <v>0</v>
      </c>
      <c r="H148">
        <f>RAW_DATA!H148</f>
        <v>0</v>
      </c>
      <c r="I148">
        <f>RAW_DATA!I148</f>
        <v>0</v>
      </c>
      <c r="J148">
        <f>RAW_DATA!J148</f>
        <v>0</v>
      </c>
      <c r="K148">
        <f>RAW_DATA!K148</f>
        <v>0</v>
      </c>
      <c r="L148">
        <f>RAW_DATA!L148</f>
        <v>0</v>
      </c>
      <c r="M148">
        <f>H148*I148</f>
        <v>0</v>
      </c>
      <c r="N148">
        <f>ISOWEEKNUM(B148)</f>
        <v>0</v>
      </c>
      <c r="O148">
        <f>TEXT(B148,"mmm")</f>
        <v>0</v>
      </c>
      <c r="P148">
        <f>"Q"&amp;ROUNDUP(MONTH(B148)/3,0)</f>
        <v>0</v>
      </c>
      <c r="Q148">
        <f>IF(J148&gt;=4,"High",IF(J148&gt;=3,"Medium","Low"))</f>
        <v>0</v>
      </c>
      <c r="R148">
        <f>IF(K148&lt;=5,"On Time","Delayed")</f>
        <v>0</v>
      </c>
    </row>
    <row r="149" spans="1:18">
      <c r="A149">
        <f>RAW_DATA!A149</f>
        <v>0</v>
      </c>
      <c r="B149">
        <f>RAW_DATA!B149</f>
        <v>0</v>
      </c>
      <c r="C149">
        <f>RAW_DATA!C149</f>
        <v>0</v>
      </c>
      <c r="D149">
        <f>RAW_DATA!D149</f>
        <v>0</v>
      </c>
      <c r="E149">
        <f>RAW_DATA!E149</f>
        <v>0</v>
      </c>
      <c r="F149">
        <f>RAW_DATA!F149</f>
        <v>0</v>
      </c>
      <c r="G149">
        <f>RAW_DATA!G149</f>
        <v>0</v>
      </c>
      <c r="H149">
        <f>RAW_DATA!H149</f>
        <v>0</v>
      </c>
      <c r="I149">
        <f>RAW_DATA!I149</f>
        <v>0</v>
      </c>
      <c r="J149">
        <f>RAW_DATA!J149</f>
        <v>0</v>
      </c>
      <c r="K149">
        <f>RAW_DATA!K149</f>
        <v>0</v>
      </c>
      <c r="L149">
        <f>RAW_DATA!L149</f>
        <v>0</v>
      </c>
      <c r="M149">
        <f>H149*I149</f>
        <v>0</v>
      </c>
      <c r="N149">
        <f>ISOWEEKNUM(B149)</f>
        <v>0</v>
      </c>
      <c r="O149">
        <f>TEXT(B149,"mmm")</f>
        <v>0</v>
      </c>
      <c r="P149">
        <f>"Q"&amp;ROUNDUP(MONTH(B149)/3,0)</f>
        <v>0</v>
      </c>
      <c r="Q149">
        <f>IF(J149&gt;=4,"High",IF(J149&gt;=3,"Medium","Low"))</f>
        <v>0</v>
      </c>
      <c r="R149">
        <f>IF(K149&lt;=5,"On Time","Delayed")</f>
        <v>0</v>
      </c>
    </row>
    <row r="150" spans="1:18">
      <c r="A150">
        <f>RAW_DATA!A150</f>
        <v>0</v>
      </c>
      <c r="B150">
        <f>RAW_DATA!B150</f>
        <v>0</v>
      </c>
      <c r="C150">
        <f>RAW_DATA!C150</f>
        <v>0</v>
      </c>
      <c r="D150">
        <f>RAW_DATA!D150</f>
        <v>0</v>
      </c>
      <c r="E150">
        <f>RAW_DATA!E150</f>
        <v>0</v>
      </c>
      <c r="F150">
        <f>RAW_DATA!F150</f>
        <v>0</v>
      </c>
      <c r="G150">
        <f>RAW_DATA!G150</f>
        <v>0</v>
      </c>
      <c r="H150">
        <f>RAW_DATA!H150</f>
        <v>0</v>
      </c>
      <c r="I150">
        <f>RAW_DATA!I150</f>
        <v>0</v>
      </c>
      <c r="J150">
        <f>RAW_DATA!J150</f>
        <v>0</v>
      </c>
      <c r="K150">
        <f>RAW_DATA!K150</f>
        <v>0</v>
      </c>
      <c r="L150">
        <f>RAW_DATA!L150</f>
        <v>0</v>
      </c>
      <c r="M150">
        <f>H150*I150</f>
        <v>0</v>
      </c>
      <c r="N150">
        <f>ISOWEEKNUM(B150)</f>
        <v>0</v>
      </c>
      <c r="O150">
        <f>TEXT(B150,"mmm")</f>
        <v>0</v>
      </c>
      <c r="P150">
        <f>"Q"&amp;ROUNDUP(MONTH(B150)/3,0)</f>
        <v>0</v>
      </c>
      <c r="Q150">
        <f>IF(J150&gt;=4,"High",IF(J150&gt;=3,"Medium","Low"))</f>
        <v>0</v>
      </c>
      <c r="R150">
        <f>IF(K150&lt;=5,"On Time","Delayed")</f>
        <v>0</v>
      </c>
    </row>
    <row r="151" spans="1:18">
      <c r="A151">
        <f>RAW_DATA!A151</f>
        <v>0</v>
      </c>
      <c r="B151">
        <f>RAW_DATA!B151</f>
        <v>0</v>
      </c>
      <c r="C151">
        <f>RAW_DATA!C151</f>
        <v>0</v>
      </c>
      <c r="D151">
        <f>RAW_DATA!D151</f>
        <v>0</v>
      </c>
      <c r="E151">
        <f>RAW_DATA!E151</f>
        <v>0</v>
      </c>
      <c r="F151">
        <f>RAW_DATA!F151</f>
        <v>0</v>
      </c>
      <c r="G151">
        <f>RAW_DATA!G151</f>
        <v>0</v>
      </c>
      <c r="H151">
        <f>RAW_DATA!H151</f>
        <v>0</v>
      </c>
      <c r="I151">
        <f>RAW_DATA!I151</f>
        <v>0</v>
      </c>
      <c r="J151">
        <f>RAW_DATA!J151</f>
        <v>0</v>
      </c>
      <c r="K151">
        <f>RAW_DATA!K151</f>
        <v>0</v>
      </c>
      <c r="L151">
        <f>RAW_DATA!L151</f>
        <v>0</v>
      </c>
      <c r="M151">
        <f>H151*I151</f>
        <v>0</v>
      </c>
      <c r="N151">
        <f>ISOWEEKNUM(B151)</f>
        <v>0</v>
      </c>
      <c r="O151">
        <f>TEXT(B151,"mmm")</f>
        <v>0</v>
      </c>
      <c r="P151">
        <f>"Q"&amp;ROUNDUP(MONTH(B151)/3,0)</f>
        <v>0</v>
      </c>
      <c r="Q151">
        <f>IF(J151&gt;=4,"High",IF(J151&gt;=3,"Medium","Low"))</f>
        <v>0</v>
      </c>
      <c r="R151">
        <f>IF(K151&lt;=5,"On Time","Delayed")</f>
        <v>0</v>
      </c>
    </row>
    <row r="152" spans="1:18">
      <c r="A152">
        <f>RAW_DATA!A152</f>
        <v>0</v>
      </c>
      <c r="B152">
        <f>RAW_DATA!B152</f>
        <v>0</v>
      </c>
      <c r="C152">
        <f>RAW_DATA!C152</f>
        <v>0</v>
      </c>
      <c r="D152">
        <f>RAW_DATA!D152</f>
        <v>0</v>
      </c>
      <c r="E152">
        <f>RAW_DATA!E152</f>
        <v>0</v>
      </c>
      <c r="F152">
        <f>RAW_DATA!F152</f>
        <v>0</v>
      </c>
      <c r="G152">
        <f>RAW_DATA!G152</f>
        <v>0</v>
      </c>
      <c r="H152">
        <f>RAW_DATA!H152</f>
        <v>0</v>
      </c>
      <c r="I152">
        <f>RAW_DATA!I152</f>
        <v>0</v>
      </c>
      <c r="J152">
        <f>RAW_DATA!J152</f>
        <v>0</v>
      </c>
      <c r="K152">
        <f>RAW_DATA!K152</f>
        <v>0</v>
      </c>
      <c r="L152">
        <f>RAW_DATA!L152</f>
        <v>0</v>
      </c>
      <c r="M152">
        <f>H152*I152</f>
        <v>0</v>
      </c>
      <c r="N152">
        <f>ISOWEEKNUM(B152)</f>
        <v>0</v>
      </c>
      <c r="O152">
        <f>TEXT(B152,"mmm")</f>
        <v>0</v>
      </c>
      <c r="P152">
        <f>"Q"&amp;ROUNDUP(MONTH(B152)/3,0)</f>
        <v>0</v>
      </c>
      <c r="Q152">
        <f>IF(J152&gt;=4,"High",IF(J152&gt;=3,"Medium","Low"))</f>
        <v>0</v>
      </c>
      <c r="R152">
        <f>IF(K152&lt;=5,"On Time","Delayed")</f>
        <v>0</v>
      </c>
    </row>
    <row r="153" spans="1:18">
      <c r="A153">
        <f>RAW_DATA!A153</f>
        <v>0</v>
      </c>
      <c r="B153">
        <f>RAW_DATA!B153</f>
        <v>0</v>
      </c>
      <c r="C153">
        <f>RAW_DATA!C153</f>
        <v>0</v>
      </c>
      <c r="D153">
        <f>RAW_DATA!D153</f>
        <v>0</v>
      </c>
      <c r="E153">
        <f>RAW_DATA!E153</f>
        <v>0</v>
      </c>
      <c r="F153">
        <f>RAW_DATA!F153</f>
        <v>0</v>
      </c>
      <c r="G153">
        <f>RAW_DATA!G153</f>
        <v>0</v>
      </c>
      <c r="H153">
        <f>RAW_DATA!H153</f>
        <v>0</v>
      </c>
      <c r="I153">
        <f>RAW_DATA!I153</f>
        <v>0</v>
      </c>
      <c r="J153">
        <f>RAW_DATA!J153</f>
        <v>0</v>
      </c>
      <c r="K153">
        <f>RAW_DATA!K153</f>
        <v>0</v>
      </c>
      <c r="L153">
        <f>RAW_DATA!L153</f>
        <v>0</v>
      </c>
      <c r="M153">
        <f>H153*I153</f>
        <v>0</v>
      </c>
      <c r="N153">
        <f>ISOWEEKNUM(B153)</f>
        <v>0</v>
      </c>
      <c r="O153">
        <f>TEXT(B153,"mmm")</f>
        <v>0</v>
      </c>
      <c r="P153">
        <f>"Q"&amp;ROUNDUP(MONTH(B153)/3,0)</f>
        <v>0</v>
      </c>
      <c r="Q153">
        <f>IF(J153&gt;=4,"High",IF(J153&gt;=3,"Medium","Low"))</f>
        <v>0</v>
      </c>
      <c r="R153">
        <f>IF(K153&lt;=5,"On Time","Delayed")</f>
        <v>0</v>
      </c>
    </row>
    <row r="154" spans="1:18">
      <c r="A154">
        <f>RAW_DATA!A154</f>
        <v>0</v>
      </c>
      <c r="B154">
        <f>RAW_DATA!B154</f>
        <v>0</v>
      </c>
      <c r="C154">
        <f>RAW_DATA!C154</f>
        <v>0</v>
      </c>
      <c r="D154">
        <f>RAW_DATA!D154</f>
        <v>0</v>
      </c>
      <c r="E154">
        <f>RAW_DATA!E154</f>
        <v>0</v>
      </c>
      <c r="F154">
        <f>RAW_DATA!F154</f>
        <v>0</v>
      </c>
      <c r="G154">
        <f>RAW_DATA!G154</f>
        <v>0</v>
      </c>
      <c r="H154">
        <f>RAW_DATA!H154</f>
        <v>0</v>
      </c>
      <c r="I154">
        <f>RAW_DATA!I154</f>
        <v>0</v>
      </c>
      <c r="J154">
        <f>RAW_DATA!J154</f>
        <v>0</v>
      </c>
      <c r="K154">
        <f>RAW_DATA!K154</f>
        <v>0</v>
      </c>
      <c r="L154">
        <f>RAW_DATA!L154</f>
        <v>0</v>
      </c>
      <c r="M154">
        <f>H154*I154</f>
        <v>0</v>
      </c>
      <c r="N154">
        <f>ISOWEEKNUM(B154)</f>
        <v>0</v>
      </c>
      <c r="O154">
        <f>TEXT(B154,"mmm")</f>
        <v>0</v>
      </c>
      <c r="P154">
        <f>"Q"&amp;ROUNDUP(MONTH(B154)/3,0)</f>
        <v>0</v>
      </c>
      <c r="Q154">
        <f>IF(J154&gt;=4,"High",IF(J154&gt;=3,"Medium","Low"))</f>
        <v>0</v>
      </c>
      <c r="R154">
        <f>IF(K154&lt;=5,"On Time","Delayed")</f>
        <v>0</v>
      </c>
    </row>
    <row r="155" spans="1:18">
      <c r="A155">
        <f>RAW_DATA!A155</f>
        <v>0</v>
      </c>
      <c r="B155">
        <f>RAW_DATA!B155</f>
        <v>0</v>
      </c>
      <c r="C155">
        <f>RAW_DATA!C155</f>
        <v>0</v>
      </c>
      <c r="D155">
        <f>RAW_DATA!D155</f>
        <v>0</v>
      </c>
      <c r="E155">
        <f>RAW_DATA!E155</f>
        <v>0</v>
      </c>
      <c r="F155">
        <f>RAW_DATA!F155</f>
        <v>0</v>
      </c>
      <c r="G155">
        <f>RAW_DATA!G155</f>
        <v>0</v>
      </c>
      <c r="H155">
        <f>RAW_DATA!H155</f>
        <v>0</v>
      </c>
      <c r="I155">
        <f>RAW_DATA!I155</f>
        <v>0</v>
      </c>
      <c r="J155">
        <f>RAW_DATA!J155</f>
        <v>0</v>
      </c>
      <c r="K155">
        <f>RAW_DATA!K155</f>
        <v>0</v>
      </c>
      <c r="L155">
        <f>RAW_DATA!L155</f>
        <v>0</v>
      </c>
      <c r="M155">
        <f>H155*I155</f>
        <v>0</v>
      </c>
      <c r="N155">
        <f>ISOWEEKNUM(B155)</f>
        <v>0</v>
      </c>
      <c r="O155">
        <f>TEXT(B155,"mmm")</f>
        <v>0</v>
      </c>
      <c r="P155">
        <f>"Q"&amp;ROUNDUP(MONTH(B155)/3,0)</f>
        <v>0</v>
      </c>
      <c r="Q155">
        <f>IF(J155&gt;=4,"High",IF(J155&gt;=3,"Medium","Low"))</f>
        <v>0</v>
      </c>
      <c r="R155">
        <f>IF(K155&lt;=5,"On Time","Delayed")</f>
        <v>0</v>
      </c>
    </row>
    <row r="156" spans="1:18">
      <c r="A156">
        <f>RAW_DATA!A156</f>
        <v>0</v>
      </c>
      <c r="B156">
        <f>RAW_DATA!B156</f>
        <v>0</v>
      </c>
      <c r="C156">
        <f>RAW_DATA!C156</f>
        <v>0</v>
      </c>
      <c r="D156">
        <f>RAW_DATA!D156</f>
        <v>0</v>
      </c>
      <c r="E156">
        <f>RAW_DATA!E156</f>
        <v>0</v>
      </c>
      <c r="F156">
        <f>RAW_DATA!F156</f>
        <v>0</v>
      </c>
      <c r="G156">
        <f>RAW_DATA!G156</f>
        <v>0</v>
      </c>
      <c r="H156">
        <f>RAW_DATA!H156</f>
        <v>0</v>
      </c>
      <c r="I156">
        <f>RAW_DATA!I156</f>
        <v>0</v>
      </c>
      <c r="J156">
        <f>RAW_DATA!J156</f>
        <v>0</v>
      </c>
      <c r="K156">
        <f>RAW_DATA!K156</f>
        <v>0</v>
      </c>
      <c r="L156">
        <f>RAW_DATA!L156</f>
        <v>0</v>
      </c>
      <c r="M156">
        <f>H156*I156</f>
        <v>0</v>
      </c>
      <c r="N156">
        <f>ISOWEEKNUM(B156)</f>
        <v>0</v>
      </c>
      <c r="O156">
        <f>TEXT(B156,"mmm")</f>
        <v>0</v>
      </c>
      <c r="P156">
        <f>"Q"&amp;ROUNDUP(MONTH(B156)/3,0)</f>
        <v>0</v>
      </c>
      <c r="Q156">
        <f>IF(J156&gt;=4,"High",IF(J156&gt;=3,"Medium","Low"))</f>
        <v>0</v>
      </c>
      <c r="R156">
        <f>IF(K156&lt;=5,"On Time","Delayed")</f>
        <v>0</v>
      </c>
    </row>
    <row r="157" spans="1:18">
      <c r="A157">
        <f>RAW_DATA!A157</f>
        <v>0</v>
      </c>
      <c r="B157">
        <f>RAW_DATA!B157</f>
        <v>0</v>
      </c>
      <c r="C157">
        <f>RAW_DATA!C157</f>
        <v>0</v>
      </c>
      <c r="D157">
        <f>RAW_DATA!D157</f>
        <v>0</v>
      </c>
      <c r="E157">
        <f>RAW_DATA!E157</f>
        <v>0</v>
      </c>
      <c r="F157">
        <f>RAW_DATA!F157</f>
        <v>0</v>
      </c>
      <c r="G157">
        <f>RAW_DATA!G157</f>
        <v>0</v>
      </c>
      <c r="H157">
        <f>RAW_DATA!H157</f>
        <v>0</v>
      </c>
      <c r="I157">
        <f>RAW_DATA!I157</f>
        <v>0</v>
      </c>
      <c r="J157">
        <f>RAW_DATA!J157</f>
        <v>0</v>
      </c>
      <c r="K157">
        <f>RAW_DATA!K157</f>
        <v>0</v>
      </c>
      <c r="L157">
        <f>RAW_DATA!L157</f>
        <v>0</v>
      </c>
      <c r="M157">
        <f>H157*I157</f>
        <v>0</v>
      </c>
      <c r="N157">
        <f>ISOWEEKNUM(B157)</f>
        <v>0</v>
      </c>
      <c r="O157">
        <f>TEXT(B157,"mmm")</f>
        <v>0</v>
      </c>
      <c r="P157">
        <f>"Q"&amp;ROUNDUP(MONTH(B157)/3,0)</f>
        <v>0</v>
      </c>
      <c r="Q157">
        <f>IF(J157&gt;=4,"High",IF(J157&gt;=3,"Medium","Low"))</f>
        <v>0</v>
      </c>
      <c r="R157">
        <f>IF(K157&lt;=5,"On Time","Delayed")</f>
        <v>0</v>
      </c>
    </row>
    <row r="158" spans="1:18">
      <c r="A158">
        <f>RAW_DATA!A158</f>
        <v>0</v>
      </c>
      <c r="B158">
        <f>RAW_DATA!B158</f>
        <v>0</v>
      </c>
      <c r="C158">
        <f>RAW_DATA!C158</f>
        <v>0</v>
      </c>
      <c r="D158">
        <f>RAW_DATA!D158</f>
        <v>0</v>
      </c>
      <c r="E158">
        <f>RAW_DATA!E158</f>
        <v>0</v>
      </c>
      <c r="F158">
        <f>RAW_DATA!F158</f>
        <v>0</v>
      </c>
      <c r="G158">
        <f>RAW_DATA!G158</f>
        <v>0</v>
      </c>
      <c r="H158">
        <f>RAW_DATA!H158</f>
        <v>0</v>
      </c>
      <c r="I158">
        <f>RAW_DATA!I158</f>
        <v>0</v>
      </c>
      <c r="J158">
        <f>RAW_DATA!J158</f>
        <v>0</v>
      </c>
      <c r="K158">
        <f>RAW_DATA!K158</f>
        <v>0</v>
      </c>
      <c r="L158">
        <f>RAW_DATA!L158</f>
        <v>0</v>
      </c>
      <c r="M158">
        <f>H158*I158</f>
        <v>0</v>
      </c>
      <c r="N158">
        <f>ISOWEEKNUM(B158)</f>
        <v>0</v>
      </c>
      <c r="O158">
        <f>TEXT(B158,"mmm")</f>
        <v>0</v>
      </c>
      <c r="P158">
        <f>"Q"&amp;ROUNDUP(MONTH(B158)/3,0)</f>
        <v>0</v>
      </c>
      <c r="Q158">
        <f>IF(J158&gt;=4,"High",IF(J158&gt;=3,"Medium","Low"))</f>
        <v>0</v>
      </c>
      <c r="R158">
        <f>IF(K158&lt;=5,"On Time","Delayed")</f>
        <v>0</v>
      </c>
    </row>
    <row r="159" spans="1:18">
      <c r="A159">
        <f>RAW_DATA!A159</f>
        <v>0</v>
      </c>
      <c r="B159">
        <f>RAW_DATA!B159</f>
        <v>0</v>
      </c>
      <c r="C159">
        <f>RAW_DATA!C159</f>
        <v>0</v>
      </c>
      <c r="D159">
        <f>RAW_DATA!D159</f>
        <v>0</v>
      </c>
      <c r="E159">
        <f>RAW_DATA!E159</f>
        <v>0</v>
      </c>
      <c r="F159">
        <f>RAW_DATA!F159</f>
        <v>0</v>
      </c>
      <c r="G159">
        <f>RAW_DATA!G159</f>
        <v>0</v>
      </c>
      <c r="H159">
        <f>RAW_DATA!H159</f>
        <v>0</v>
      </c>
      <c r="I159">
        <f>RAW_DATA!I159</f>
        <v>0</v>
      </c>
      <c r="J159">
        <f>RAW_DATA!J159</f>
        <v>0</v>
      </c>
      <c r="K159">
        <f>RAW_DATA!K159</f>
        <v>0</v>
      </c>
      <c r="L159">
        <f>RAW_DATA!L159</f>
        <v>0</v>
      </c>
      <c r="M159">
        <f>H159*I159</f>
        <v>0</v>
      </c>
      <c r="N159">
        <f>ISOWEEKNUM(B159)</f>
        <v>0</v>
      </c>
      <c r="O159">
        <f>TEXT(B159,"mmm")</f>
        <v>0</v>
      </c>
      <c r="P159">
        <f>"Q"&amp;ROUNDUP(MONTH(B159)/3,0)</f>
        <v>0</v>
      </c>
      <c r="Q159">
        <f>IF(J159&gt;=4,"High",IF(J159&gt;=3,"Medium","Low"))</f>
        <v>0</v>
      </c>
      <c r="R159">
        <f>IF(K159&lt;=5,"On Time","Delayed")</f>
        <v>0</v>
      </c>
    </row>
    <row r="160" spans="1:18">
      <c r="A160">
        <f>RAW_DATA!A160</f>
        <v>0</v>
      </c>
      <c r="B160">
        <f>RAW_DATA!B160</f>
        <v>0</v>
      </c>
      <c r="C160">
        <f>RAW_DATA!C160</f>
        <v>0</v>
      </c>
      <c r="D160">
        <f>RAW_DATA!D160</f>
        <v>0</v>
      </c>
      <c r="E160">
        <f>RAW_DATA!E160</f>
        <v>0</v>
      </c>
      <c r="F160">
        <f>RAW_DATA!F160</f>
        <v>0</v>
      </c>
      <c r="G160">
        <f>RAW_DATA!G160</f>
        <v>0</v>
      </c>
      <c r="H160">
        <f>RAW_DATA!H160</f>
        <v>0</v>
      </c>
      <c r="I160">
        <f>RAW_DATA!I160</f>
        <v>0</v>
      </c>
      <c r="J160">
        <f>RAW_DATA!J160</f>
        <v>0</v>
      </c>
      <c r="K160">
        <f>RAW_DATA!K160</f>
        <v>0</v>
      </c>
      <c r="L160">
        <f>RAW_DATA!L160</f>
        <v>0</v>
      </c>
      <c r="M160">
        <f>H160*I160</f>
        <v>0</v>
      </c>
      <c r="N160">
        <f>ISOWEEKNUM(B160)</f>
        <v>0</v>
      </c>
      <c r="O160">
        <f>TEXT(B160,"mmm")</f>
        <v>0</v>
      </c>
      <c r="P160">
        <f>"Q"&amp;ROUNDUP(MONTH(B160)/3,0)</f>
        <v>0</v>
      </c>
      <c r="Q160">
        <f>IF(J160&gt;=4,"High",IF(J160&gt;=3,"Medium","Low"))</f>
        <v>0</v>
      </c>
      <c r="R160">
        <f>IF(K160&lt;=5,"On Time","Delayed")</f>
        <v>0</v>
      </c>
    </row>
    <row r="161" spans="1:18">
      <c r="A161">
        <f>RAW_DATA!A161</f>
        <v>0</v>
      </c>
      <c r="B161">
        <f>RAW_DATA!B161</f>
        <v>0</v>
      </c>
      <c r="C161">
        <f>RAW_DATA!C161</f>
        <v>0</v>
      </c>
      <c r="D161">
        <f>RAW_DATA!D161</f>
        <v>0</v>
      </c>
      <c r="E161">
        <f>RAW_DATA!E161</f>
        <v>0</v>
      </c>
      <c r="F161">
        <f>RAW_DATA!F161</f>
        <v>0</v>
      </c>
      <c r="G161">
        <f>RAW_DATA!G161</f>
        <v>0</v>
      </c>
      <c r="H161">
        <f>RAW_DATA!H161</f>
        <v>0</v>
      </c>
      <c r="I161">
        <f>RAW_DATA!I161</f>
        <v>0</v>
      </c>
      <c r="J161">
        <f>RAW_DATA!J161</f>
        <v>0</v>
      </c>
      <c r="K161">
        <f>RAW_DATA!K161</f>
        <v>0</v>
      </c>
      <c r="L161">
        <f>RAW_DATA!L161</f>
        <v>0</v>
      </c>
      <c r="M161">
        <f>H161*I161</f>
        <v>0</v>
      </c>
      <c r="N161">
        <f>ISOWEEKNUM(B161)</f>
        <v>0</v>
      </c>
      <c r="O161">
        <f>TEXT(B161,"mmm")</f>
        <v>0</v>
      </c>
      <c r="P161">
        <f>"Q"&amp;ROUNDUP(MONTH(B161)/3,0)</f>
        <v>0</v>
      </c>
      <c r="Q161">
        <f>IF(J161&gt;=4,"High",IF(J161&gt;=3,"Medium","Low"))</f>
        <v>0</v>
      </c>
      <c r="R161">
        <f>IF(K161&lt;=5,"On Time","Delayed")</f>
        <v>0</v>
      </c>
    </row>
    <row r="162" spans="1:18">
      <c r="A162">
        <f>RAW_DATA!A162</f>
        <v>0</v>
      </c>
      <c r="B162">
        <f>RAW_DATA!B162</f>
        <v>0</v>
      </c>
      <c r="C162">
        <f>RAW_DATA!C162</f>
        <v>0</v>
      </c>
      <c r="D162">
        <f>RAW_DATA!D162</f>
        <v>0</v>
      </c>
      <c r="E162">
        <f>RAW_DATA!E162</f>
        <v>0</v>
      </c>
      <c r="F162">
        <f>RAW_DATA!F162</f>
        <v>0</v>
      </c>
      <c r="G162">
        <f>RAW_DATA!G162</f>
        <v>0</v>
      </c>
      <c r="H162">
        <f>RAW_DATA!H162</f>
        <v>0</v>
      </c>
      <c r="I162">
        <f>RAW_DATA!I162</f>
        <v>0</v>
      </c>
      <c r="J162">
        <f>RAW_DATA!J162</f>
        <v>0</v>
      </c>
      <c r="K162">
        <f>RAW_DATA!K162</f>
        <v>0</v>
      </c>
      <c r="L162">
        <f>RAW_DATA!L162</f>
        <v>0</v>
      </c>
      <c r="M162">
        <f>H162*I162</f>
        <v>0</v>
      </c>
      <c r="N162">
        <f>ISOWEEKNUM(B162)</f>
        <v>0</v>
      </c>
      <c r="O162">
        <f>TEXT(B162,"mmm")</f>
        <v>0</v>
      </c>
      <c r="P162">
        <f>"Q"&amp;ROUNDUP(MONTH(B162)/3,0)</f>
        <v>0</v>
      </c>
      <c r="Q162">
        <f>IF(J162&gt;=4,"High",IF(J162&gt;=3,"Medium","Low"))</f>
        <v>0</v>
      </c>
      <c r="R162">
        <f>IF(K162&lt;=5,"On Time","Delayed")</f>
        <v>0</v>
      </c>
    </row>
    <row r="163" spans="1:18">
      <c r="A163">
        <f>RAW_DATA!A163</f>
        <v>0</v>
      </c>
      <c r="B163">
        <f>RAW_DATA!B163</f>
        <v>0</v>
      </c>
      <c r="C163">
        <f>RAW_DATA!C163</f>
        <v>0</v>
      </c>
      <c r="D163">
        <f>RAW_DATA!D163</f>
        <v>0</v>
      </c>
      <c r="E163">
        <f>RAW_DATA!E163</f>
        <v>0</v>
      </c>
      <c r="F163">
        <f>RAW_DATA!F163</f>
        <v>0</v>
      </c>
      <c r="G163">
        <f>RAW_DATA!G163</f>
        <v>0</v>
      </c>
      <c r="H163">
        <f>RAW_DATA!H163</f>
        <v>0</v>
      </c>
      <c r="I163">
        <f>RAW_DATA!I163</f>
        <v>0</v>
      </c>
      <c r="J163">
        <f>RAW_DATA!J163</f>
        <v>0</v>
      </c>
      <c r="K163">
        <f>RAW_DATA!K163</f>
        <v>0</v>
      </c>
      <c r="L163">
        <f>RAW_DATA!L163</f>
        <v>0</v>
      </c>
      <c r="M163">
        <f>H163*I163</f>
        <v>0</v>
      </c>
      <c r="N163">
        <f>ISOWEEKNUM(B163)</f>
        <v>0</v>
      </c>
      <c r="O163">
        <f>TEXT(B163,"mmm")</f>
        <v>0</v>
      </c>
      <c r="P163">
        <f>"Q"&amp;ROUNDUP(MONTH(B163)/3,0)</f>
        <v>0</v>
      </c>
      <c r="Q163">
        <f>IF(J163&gt;=4,"High",IF(J163&gt;=3,"Medium","Low"))</f>
        <v>0</v>
      </c>
      <c r="R163">
        <f>IF(K163&lt;=5,"On Time","Delayed")</f>
        <v>0</v>
      </c>
    </row>
    <row r="164" spans="1:18">
      <c r="A164">
        <f>RAW_DATA!A164</f>
        <v>0</v>
      </c>
      <c r="B164">
        <f>RAW_DATA!B164</f>
        <v>0</v>
      </c>
      <c r="C164">
        <f>RAW_DATA!C164</f>
        <v>0</v>
      </c>
      <c r="D164">
        <f>RAW_DATA!D164</f>
        <v>0</v>
      </c>
      <c r="E164">
        <f>RAW_DATA!E164</f>
        <v>0</v>
      </c>
      <c r="F164">
        <f>RAW_DATA!F164</f>
        <v>0</v>
      </c>
      <c r="G164">
        <f>RAW_DATA!G164</f>
        <v>0</v>
      </c>
      <c r="H164">
        <f>RAW_DATA!H164</f>
        <v>0</v>
      </c>
      <c r="I164">
        <f>RAW_DATA!I164</f>
        <v>0</v>
      </c>
      <c r="J164">
        <f>RAW_DATA!J164</f>
        <v>0</v>
      </c>
      <c r="K164">
        <f>RAW_DATA!K164</f>
        <v>0</v>
      </c>
      <c r="L164">
        <f>RAW_DATA!L164</f>
        <v>0</v>
      </c>
      <c r="M164">
        <f>H164*I164</f>
        <v>0</v>
      </c>
      <c r="N164">
        <f>ISOWEEKNUM(B164)</f>
        <v>0</v>
      </c>
      <c r="O164">
        <f>TEXT(B164,"mmm")</f>
        <v>0</v>
      </c>
      <c r="P164">
        <f>"Q"&amp;ROUNDUP(MONTH(B164)/3,0)</f>
        <v>0</v>
      </c>
      <c r="Q164">
        <f>IF(J164&gt;=4,"High",IF(J164&gt;=3,"Medium","Low"))</f>
        <v>0</v>
      </c>
      <c r="R164">
        <f>IF(K164&lt;=5,"On Time","Delayed")</f>
        <v>0</v>
      </c>
    </row>
    <row r="165" spans="1:18">
      <c r="A165">
        <f>RAW_DATA!A165</f>
        <v>0</v>
      </c>
      <c r="B165">
        <f>RAW_DATA!B165</f>
        <v>0</v>
      </c>
      <c r="C165">
        <f>RAW_DATA!C165</f>
        <v>0</v>
      </c>
      <c r="D165">
        <f>RAW_DATA!D165</f>
        <v>0</v>
      </c>
      <c r="E165">
        <f>RAW_DATA!E165</f>
        <v>0</v>
      </c>
      <c r="F165">
        <f>RAW_DATA!F165</f>
        <v>0</v>
      </c>
      <c r="G165">
        <f>RAW_DATA!G165</f>
        <v>0</v>
      </c>
      <c r="H165">
        <f>RAW_DATA!H165</f>
        <v>0</v>
      </c>
      <c r="I165">
        <f>RAW_DATA!I165</f>
        <v>0</v>
      </c>
      <c r="J165">
        <f>RAW_DATA!J165</f>
        <v>0</v>
      </c>
      <c r="K165">
        <f>RAW_DATA!K165</f>
        <v>0</v>
      </c>
      <c r="L165">
        <f>RAW_DATA!L165</f>
        <v>0</v>
      </c>
      <c r="M165">
        <f>H165*I165</f>
        <v>0</v>
      </c>
      <c r="N165">
        <f>ISOWEEKNUM(B165)</f>
        <v>0</v>
      </c>
      <c r="O165">
        <f>TEXT(B165,"mmm")</f>
        <v>0</v>
      </c>
      <c r="P165">
        <f>"Q"&amp;ROUNDUP(MONTH(B165)/3,0)</f>
        <v>0</v>
      </c>
      <c r="Q165">
        <f>IF(J165&gt;=4,"High",IF(J165&gt;=3,"Medium","Low"))</f>
        <v>0</v>
      </c>
      <c r="R165">
        <f>IF(K165&lt;=5,"On Time","Delayed")</f>
        <v>0</v>
      </c>
    </row>
    <row r="166" spans="1:18">
      <c r="A166">
        <f>RAW_DATA!A166</f>
        <v>0</v>
      </c>
      <c r="B166">
        <f>RAW_DATA!B166</f>
        <v>0</v>
      </c>
      <c r="C166">
        <f>RAW_DATA!C166</f>
        <v>0</v>
      </c>
      <c r="D166">
        <f>RAW_DATA!D166</f>
        <v>0</v>
      </c>
      <c r="E166">
        <f>RAW_DATA!E166</f>
        <v>0</v>
      </c>
      <c r="F166">
        <f>RAW_DATA!F166</f>
        <v>0</v>
      </c>
      <c r="G166">
        <f>RAW_DATA!G166</f>
        <v>0</v>
      </c>
      <c r="H166">
        <f>RAW_DATA!H166</f>
        <v>0</v>
      </c>
      <c r="I166">
        <f>RAW_DATA!I166</f>
        <v>0</v>
      </c>
      <c r="J166">
        <f>RAW_DATA!J166</f>
        <v>0</v>
      </c>
      <c r="K166">
        <f>RAW_DATA!K166</f>
        <v>0</v>
      </c>
      <c r="L166">
        <f>RAW_DATA!L166</f>
        <v>0</v>
      </c>
      <c r="M166">
        <f>H166*I166</f>
        <v>0</v>
      </c>
      <c r="N166">
        <f>ISOWEEKNUM(B166)</f>
        <v>0</v>
      </c>
      <c r="O166">
        <f>TEXT(B166,"mmm")</f>
        <v>0</v>
      </c>
      <c r="P166">
        <f>"Q"&amp;ROUNDUP(MONTH(B166)/3,0)</f>
        <v>0</v>
      </c>
      <c r="Q166">
        <f>IF(J166&gt;=4,"High",IF(J166&gt;=3,"Medium","Low"))</f>
        <v>0</v>
      </c>
      <c r="R166">
        <f>IF(K166&lt;=5,"On Time","Delayed")</f>
        <v>0</v>
      </c>
    </row>
    <row r="167" spans="1:18">
      <c r="A167">
        <f>RAW_DATA!A167</f>
        <v>0</v>
      </c>
      <c r="B167">
        <f>RAW_DATA!B167</f>
        <v>0</v>
      </c>
      <c r="C167">
        <f>RAW_DATA!C167</f>
        <v>0</v>
      </c>
      <c r="D167">
        <f>RAW_DATA!D167</f>
        <v>0</v>
      </c>
      <c r="E167">
        <f>RAW_DATA!E167</f>
        <v>0</v>
      </c>
      <c r="F167">
        <f>RAW_DATA!F167</f>
        <v>0</v>
      </c>
      <c r="G167">
        <f>RAW_DATA!G167</f>
        <v>0</v>
      </c>
      <c r="H167">
        <f>RAW_DATA!H167</f>
        <v>0</v>
      </c>
      <c r="I167">
        <f>RAW_DATA!I167</f>
        <v>0</v>
      </c>
      <c r="J167">
        <f>RAW_DATA!J167</f>
        <v>0</v>
      </c>
      <c r="K167">
        <f>RAW_DATA!K167</f>
        <v>0</v>
      </c>
      <c r="L167">
        <f>RAW_DATA!L167</f>
        <v>0</v>
      </c>
      <c r="M167">
        <f>H167*I167</f>
        <v>0</v>
      </c>
      <c r="N167">
        <f>ISOWEEKNUM(B167)</f>
        <v>0</v>
      </c>
      <c r="O167">
        <f>TEXT(B167,"mmm")</f>
        <v>0</v>
      </c>
      <c r="P167">
        <f>"Q"&amp;ROUNDUP(MONTH(B167)/3,0)</f>
        <v>0</v>
      </c>
      <c r="Q167">
        <f>IF(J167&gt;=4,"High",IF(J167&gt;=3,"Medium","Low"))</f>
        <v>0</v>
      </c>
      <c r="R167">
        <f>IF(K167&lt;=5,"On Time","Delayed")</f>
        <v>0</v>
      </c>
    </row>
    <row r="168" spans="1:18">
      <c r="A168">
        <f>RAW_DATA!A168</f>
        <v>0</v>
      </c>
      <c r="B168">
        <f>RAW_DATA!B168</f>
        <v>0</v>
      </c>
      <c r="C168">
        <f>RAW_DATA!C168</f>
        <v>0</v>
      </c>
      <c r="D168">
        <f>RAW_DATA!D168</f>
        <v>0</v>
      </c>
      <c r="E168">
        <f>RAW_DATA!E168</f>
        <v>0</v>
      </c>
      <c r="F168">
        <f>RAW_DATA!F168</f>
        <v>0</v>
      </c>
      <c r="G168">
        <f>RAW_DATA!G168</f>
        <v>0</v>
      </c>
      <c r="H168">
        <f>RAW_DATA!H168</f>
        <v>0</v>
      </c>
      <c r="I168">
        <f>RAW_DATA!I168</f>
        <v>0</v>
      </c>
      <c r="J168">
        <f>RAW_DATA!J168</f>
        <v>0</v>
      </c>
      <c r="K168">
        <f>RAW_DATA!K168</f>
        <v>0</v>
      </c>
      <c r="L168">
        <f>RAW_DATA!L168</f>
        <v>0</v>
      </c>
      <c r="M168">
        <f>H168*I168</f>
        <v>0</v>
      </c>
      <c r="N168">
        <f>ISOWEEKNUM(B168)</f>
        <v>0</v>
      </c>
      <c r="O168">
        <f>TEXT(B168,"mmm")</f>
        <v>0</v>
      </c>
      <c r="P168">
        <f>"Q"&amp;ROUNDUP(MONTH(B168)/3,0)</f>
        <v>0</v>
      </c>
      <c r="Q168">
        <f>IF(J168&gt;=4,"High",IF(J168&gt;=3,"Medium","Low"))</f>
        <v>0</v>
      </c>
      <c r="R168">
        <f>IF(K168&lt;=5,"On Time","Delayed")</f>
        <v>0</v>
      </c>
    </row>
    <row r="169" spans="1:18">
      <c r="A169">
        <f>RAW_DATA!A169</f>
        <v>0</v>
      </c>
      <c r="B169">
        <f>RAW_DATA!B169</f>
        <v>0</v>
      </c>
      <c r="C169">
        <f>RAW_DATA!C169</f>
        <v>0</v>
      </c>
      <c r="D169">
        <f>RAW_DATA!D169</f>
        <v>0</v>
      </c>
      <c r="E169">
        <f>RAW_DATA!E169</f>
        <v>0</v>
      </c>
      <c r="F169">
        <f>RAW_DATA!F169</f>
        <v>0</v>
      </c>
      <c r="G169">
        <f>RAW_DATA!G169</f>
        <v>0</v>
      </c>
      <c r="H169">
        <f>RAW_DATA!H169</f>
        <v>0</v>
      </c>
      <c r="I169">
        <f>RAW_DATA!I169</f>
        <v>0</v>
      </c>
      <c r="J169">
        <f>RAW_DATA!J169</f>
        <v>0</v>
      </c>
      <c r="K169">
        <f>RAW_DATA!K169</f>
        <v>0</v>
      </c>
      <c r="L169">
        <f>RAW_DATA!L169</f>
        <v>0</v>
      </c>
      <c r="M169">
        <f>H169*I169</f>
        <v>0</v>
      </c>
      <c r="N169">
        <f>ISOWEEKNUM(B169)</f>
        <v>0</v>
      </c>
      <c r="O169">
        <f>TEXT(B169,"mmm")</f>
        <v>0</v>
      </c>
      <c r="P169">
        <f>"Q"&amp;ROUNDUP(MONTH(B169)/3,0)</f>
        <v>0</v>
      </c>
      <c r="Q169">
        <f>IF(J169&gt;=4,"High",IF(J169&gt;=3,"Medium","Low"))</f>
        <v>0</v>
      </c>
      <c r="R169">
        <f>IF(K169&lt;=5,"On Time","Delayed")</f>
        <v>0</v>
      </c>
    </row>
    <row r="170" spans="1:18">
      <c r="A170">
        <f>RAW_DATA!A170</f>
        <v>0</v>
      </c>
      <c r="B170">
        <f>RAW_DATA!B170</f>
        <v>0</v>
      </c>
      <c r="C170">
        <f>RAW_DATA!C170</f>
        <v>0</v>
      </c>
      <c r="D170">
        <f>RAW_DATA!D170</f>
        <v>0</v>
      </c>
      <c r="E170">
        <f>RAW_DATA!E170</f>
        <v>0</v>
      </c>
      <c r="F170">
        <f>RAW_DATA!F170</f>
        <v>0</v>
      </c>
      <c r="G170">
        <f>RAW_DATA!G170</f>
        <v>0</v>
      </c>
      <c r="H170">
        <f>RAW_DATA!H170</f>
        <v>0</v>
      </c>
      <c r="I170">
        <f>RAW_DATA!I170</f>
        <v>0</v>
      </c>
      <c r="J170">
        <f>RAW_DATA!J170</f>
        <v>0</v>
      </c>
      <c r="K170">
        <f>RAW_DATA!K170</f>
        <v>0</v>
      </c>
      <c r="L170">
        <f>RAW_DATA!L170</f>
        <v>0</v>
      </c>
      <c r="M170">
        <f>H170*I170</f>
        <v>0</v>
      </c>
      <c r="N170">
        <f>ISOWEEKNUM(B170)</f>
        <v>0</v>
      </c>
      <c r="O170">
        <f>TEXT(B170,"mmm")</f>
        <v>0</v>
      </c>
      <c r="P170">
        <f>"Q"&amp;ROUNDUP(MONTH(B170)/3,0)</f>
        <v>0</v>
      </c>
      <c r="Q170">
        <f>IF(J170&gt;=4,"High",IF(J170&gt;=3,"Medium","Low"))</f>
        <v>0</v>
      </c>
      <c r="R170">
        <f>IF(K170&lt;=5,"On Time","Delayed")</f>
        <v>0</v>
      </c>
    </row>
    <row r="171" spans="1:18">
      <c r="A171">
        <f>RAW_DATA!A171</f>
        <v>0</v>
      </c>
      <c r="B171">
        <f>RAW_DATA!B171</f>
        <v>0</v>
      </c>
      <c r="C171">
        <f>RAW_DATA!C171</f>
        <v>0</v>
      </c>
      <c r="D171">
        <f>RAW_DATA!D171</f>
        <v>0</v>
      </c>
      <c r="E171">
        <f>RAW_DATA!E171</f>
        <v>0</v>
      </c>
      <c r="F171">
        <f>RAW_DATA!F171</f>
        <v>0</v>
      </c>
      <c r="G171">
        <f>RAW_DATA!G171</f>
        <v>0</v>
      </c>
      <c r="H171">
        <f>RAW_DATA!H171</f>
        <v>0</v>
      </c>
      <c r="I171">
        <f>RAW_DATA!I171</f>
        <v>0</v>
      </c>
      <c r="J171">
        <f>RAW_DATA!J171</f>
        <v>0</v>
      </c>
      <c r="K171">
        <f>RAW_DATA!K171</f>
        <v>0</v>
      </c>
      <c r="L171">
        <f>RAW_DATA!L171</f>
        <v>0</v>
      </c>
      <c r="M171">
        <f>H171*I171</f>
        <v>0</v>
      </c>
      <c r="N171">
        <f>ISOWEEKNUM(B171)</f>
        <v>0</v>
      </c>
      <c r="O171">
        <f>TEXT(B171,"mmm")</f>
        <v>0</v>
      </c>
      <c r="P171">
        <f>"Q"&amp;ROUNDUP(MONTH(B171)/3,0)</f>
        <v>0</v>
      </c>
      <c r="Q171">
        <f>IF(J171&gt;=4,"High",IF(J171&gt;=3,"Medium","Low"))</f>
        <v>0</v>
      </c>
      <c r="R171">
        <f>IF(K171&lt;=5,"On Time","Delayed")</f>
        <v>0</v>
      </c>
    </row>
    <row r="172" spans="1:18">
      <c r="A172">
        <f>RAW_DATA!A172</f>
        <v>0</v>
      </c>
      <c r="B172">
        <f>RAW_DATA!B172</f>
        <v>0</v>
      </c>
      <c r="C172">
        <f>RAW_DATA!C172</f>
        <v>0</v>
      </c>
      <c r="D172">
        <f>RAW_DATA!D172</f>
        <v>0</v>
      </c>
      <c r="E172">
        <f>RAW_DATA!E172</f>
        <v>0</v>
      </c>
      <c r="F172">
        <f>RAW_DATA!F172</f>
        <v>0</v>
      </c>
      <c r="G172">
        <f>RAW_DATA!G172</f>
        <v>0</v>
      </c>
      <c r="H172">
        <f>RAW_DATA!H172</f>
        <v>0</v>
      </c>
      <c r="I172">
        <f>RAW_DATA!I172</f>
        <v>0</v>
      </c>
      <c r="J172">
        <f>RAW_DATA!J172</f>
        <v>0</v>
      </c>
      <c r="K172">
        <f>RAW_DATA!K172</f>
        <v>0</v>
      </c>
      <c r="L172">
        <f>RAW_DATA!L172</f>
        <v>0</v>
      </c>
      <c r="M172">
        <f>H172*I172</f>
        <v>0</v>
      </c>
      <c r="N172">
        <f>ISOWEEKNUM(B172)</f>
        <v>0</v>
      </c>
      <c r="O172">
        <f>TEXT(B172,"mmm")</f>
        <v>0</v>
      </c>
      <c r="P172">
        <f>"Q"&amp;ROUNDUP(MONTH(B172)/3,0)</f>
        <v>0</v>
      </c>
      <c r="Q172">
        <f>IF(J172&gt;=4,"High",IF(J172&gt;=3,"Medium","Low"))</f>
        <v>0</v>
      </c>
      <c r="R172">
        <f>IF(K172&lt;=5,"On Time","Delayed")</f>
        <v>0</v>
      </c>
    </row>
    <row r="173" spans="1:18">
      <c r="A173">
        <f>RAW_DATA!A173</f>
        <v>0</v>
      </c>
      <c r="B173">
        <f>RAW_DATA!B173</f>
        <v>0</v>
      </c>
      <c r="C173">
        <f>RAW_DATA!C173</f>
        <v>0</v>
      </c>
      <c r="D173">
        <f>RAW_DATA!D173</f>
        <v>0</v>
      </c>
      <c r="E173">
        <f>RAW_DATA!E173</f>
        <v>0</v>
      </c>
      <c r="F173">
        <f>RAW_DATA!F173</f>
        <v>0</v>
      </c>
      <c r="G173">
        <f>RAW_DATA!G173</f>
        <v>0</v>
      </c>
      <c r="H173">
        <f>RAW_DATA!H173</f>
        <v>0</v>
      </c>
      <c r="I173">
        <f>RAW_DATA!I173</f>
        <v>0</v>
      </c>
      <c r="J173">
        <f>RAW_DATA!J173</f>
        <v>0</v>
      </c>
      <c r="K173">
        <f>RAW_DATA!K173</f>
        <v>0</v>
      </c>
      <c r="L173">
        <f>RAW_DATA!L173</f>
        <v>0</v>
      </c>
      <c r="M173">
        <f>H173*I173</f>
        <v>0</v>
      </c>
      <c r="N173">
        <f>ISOWEEKNUM(B173)</f>
        <v>0</v>
      </c>
      <c r="O173">
        <f>TEXT(B173,"mmm")</f>
        <v>0</v>
      </c>
      <c r="P173">
        <f>"Q"&amp;ROUNDUP(MONTH(B173)/3,0)</f>
        <v>0</v>
      </c>
      <c r="Q173">
        <f>IF(J173&gt;=4,"High",IF(J173&gt;=3,"Medium","Low"))</f>
        <v>0</v>
      </c>
      <c r="R173">
        <f>IF(K173&lt;=5,"On Time","Delayed")</f>
        <v>0</v>
      </c>
    </row>
    <row r="174" spans="1:18">
      <c r="A174">
        <f>RAW_DATA!A174</f>
        <v>0</v>
      </c>
      <c r="B174">
        <f>RAW_DATA!B174</f>
        <v>0</v>
      </c>
      <c r="C174">
        <f>RAW_DATA!C174</f>
        <v>0</v>
      </c>
      <c r="D174">
        <f>RAW_DATA!D174</f>
        <v>0</v>
      </c>
      <c r="E174">
        <f>RAW_DATA!E174</f>
        <v>0</v>
      </c>
      <c r="F174">
        <f>RAW_DATA!F174</f>
        <v>0</v>
      </c>
      <c r="G174">
        <f>RAW_DATA!G174</f>
        <v>0</v>
      </c>
      <c r="H174">
        <f>RAW_DATA!H174</f>
        <v>0</v>
      </c>
      <c r="I174">
        <f>RAW_DATA!I174</f>
        <v>0</v>
      </c>
      <c r="J174">
        <f>RAW_DATA!J174</f>
        <v>0</v>
      </c>
      <c r="K174">
        <f>RAW_DATA!K174</f>
        <v>0</v>
      </c>
      <c r="L174">
        <f>RAW_DATA!L174</f>
        <v>0</v>
      </c>
      <c r="M174">
        <f>H174*I174</f>
        <v>0</v>
      </c>
      <c r="N174">
        <f>ISOWEEKNUM(B174)</f>
        <v>0</v>
      </c>
      <c r="O174">
        <f>TEXT(B174,"mmm")</f>
        <v>0</v>
      </c>
      <c r="P174">
        <f>"Q"&amp;ROUNDUP(MONTH(B174)/3,0)</f>
        <v>0</v>
      </c>
      <c r="Q174">
        <f>IF(J174&gt;=4,"High",IF(J174&gt;=3,"Medium","Low"))</f>
        <v>0</v>
      </c>
      <c r="R174">
        <f>IF(K174&lt;=5,"On Time","Delayed")</f>
        <v>0</v>
      </c>
    </row>
    <row r="175" spans="1:18">
      <c r="A175">
        <f>RAW_DATA!A175</f>
        <v>0</v>
      </c>
      <c r="B175">
        <f>RAW_DATA!B175</f>
        <v>0</v>
      </c>
      <c r="C175">
        <f>RAW_DATA!C175</f>
        <v>0</v>
      </c>
      <c r="D175">
        <f>RAW_DATA!D175</f>
        <v>0</v>
      </c>
      <c r="E175">
        <f>RAW_DATA!E175</f>
        <v>0</v>
      </c>
      <c r="F175">
        <f>RAW_DATA!F175</f>
        <v>0</v>
      </c>
      <c r="G175">
        <f>RAW_DATA!G175</f>
        <v>0</v>
      </c>
      <c r="H175">
        <f>RAW_DATA!H175</f>
        <v>0</v>
      </c>
      <c r="I175">
        <f>RAW_DATA!I175</f>
        <v>0</v>
      </c>
      <c r="J175">
        <f>RAW_DATA!J175</f>
        <v>0</v>
      </c>
      <c r="K175">
        <f>RAW_DATA!K175</f>
        <v>0</v>
      </c>
      <c r="L175">
        <f>RAW_DATA!L175</f>
        <v>0</v>
      </c>
      <c r="M175">
        <f>H175*I175</f>
        <v>0</v>
      </c>
      <c r="N175">
        <f>ISOWEEKNUM(B175)</f>
        <v>0</v>
      </c>
      <c r="O175">
        <f>TEXT(B175,"mmm")</f>
        <v>0</v>
      </c>
      <c r="P175">
        <f>"Q"&amp;ROUNDUP(MONTH(B175)/3,0)</f>
        <v>0</v>
      </c>
      <c r="Q175">
        <f>IF(J175&gt;=4,"High",IF(J175&gt;=3,"Medium","Low"))</f>
        <v>0</v>
      </c>
      <c r="R175">
        <f>IF(K175&lt;=5,"On Time","Delayed")</f>
        <v>0</v>
      </c>
    </row>
    <row r="176" spans="1:18">
      <c r="A176">
        <f>RAW_DATA!A176</f>
        <v>0</v>
      </c>
      <c r="B176">
        <f>RAW_DATA!B176</f>
        <v>0</v>
      </c>
      <c r="C176">
        <f>RAW_DATA!C176</f>
        <v>0</v>
      </c>
      <c r="D176">
        <f>RAW_DATA!D176</f>
        <v>0</v>
      </c>
      <c r="E176">
        <f>RAW_DATA!E176</f>
        <v>0</v>
      </c>
      <c r="F176">
        <f>RAW_DATA!F176</f>
        <v>0</v>
      </c>
      <c r="G176">
        <f>RAW_DATA!G176</f>
        <v>0</v>
      </c>
      <c r="H176">
        <f>RAW_DATA!H176</f>
        <v>0</v>
      </c>
      <c r="I176">
        <f>RAW_DATA!I176</f>
        <v>0</v>
      </c>
      <c r="J176">
        <f>RAW_DATA!J176</f>
        <v>0</v>
      </c>
      <c r="K176">
        <f>RAW_DATA!K176</f>
        <v>0</v>
      </c>
      <c r="L176">
        <f>RAW_DATA!L176</f>
        <v>0</v>
      </c>
      <c r="M176">
        <f>H176*I176</f>
        <v>0</v>
      </c>
      <c r="N176">
        <f>ISOWEEKNUM(B176)</f>
        <v>0</v>
      </c>
      <c r="O176">
        <f>TEXT(B176,"mmm")</f>
        <v>0</v>
      </c>
      <c r="P176">
        <f>"Q"&amp;ROUNDUP(MONTH(B176)/3,0)</f>
        <v>0</v>
      </c>
      <c r="Q176">
        <f>IF(J176&gt;=4,"High",IF(J176&gt;=3,"Medium","Low"))</f>
        <v>0</v>
      </c>
      <c r="R176">
        <f>IF(K176&lt;=5,"On Time","Delayed")</f>
        <v>0</v>
      </c>
    </row>
    <row r="177" spans="1:18">
      <c r="A177">
        <f>RAW_DATA!A177</f>
        <v>0</v>
      </c>
      <c r="B177">
        <f>RAW_DATA!B177</f>
        <v>0</v>
      </c>
      <c r="C177">
        <f>RAW_DATA!C177</f>
        <v>0</v>
      </c>
      <c r="D177">
        <f>RAW_DATA!D177</f>
        <v>0</v>
      </c>
      <c r="E177">
        <f>RAW_DATA!E177</f>
        <v>0</v>
      </c>
      <c r="F177">
        <f>RAW_DATA!F177</f>
        <v>0</v>
      </c>
      <c r="G177">
        <f>RAW_DATA!G177</f>
        <v>0</v>
      </c>
      <c r="H177">
        <f>RAW_DATA!H177</f>
        <v>0</v>
      </c>
      <c r="I177">
        <f>RAW_DATA!I177</f>
        <v>0</v>
      </c>
      <c r="J177">
        <f>RAW_DATA!J177</f>
        <v>0</v>
      </c>
      <c r="K177">
        <f>RAW_DATA!K177</f>
        <v>0</v>
      </c>
      <c r="L177">
        <f>RAW_DATA!L177</f>
        <v>0</v>
      </c>
      <c r="M177">
        <f>H177*I177</f>
        <v>0</v>
      </c>
      <c r="N177">
        <f>ISOWEEKNUM(B177)</f>
        <v>0</v>
      </c>
      <c r="O177">
        <f>TEXT(B177,"mmm")</f>
        <v>0</v>
      </c>
      <c r="P177">
        <f>"Q"&amp;ROUNDUP(MONTH(B177)/3,0)</f>
        <v>0</v>
      </c>
      <c r="Q177">
        <f>IF(J177&gt;=4,"High",IF(J177&gt;=3,"Medium","Low"))</f>
        <v>0</v>
      </c>
      <c r="R177">
        <f>IF(K177&lt;=5,"On Time","Delayed")</f>
        <v>0</v>
      </c>
    </row>
    <row r="178" spans="1:18">
      <c r="A178">
        <f>RAW_DATA!A178</f>
        <v>0</v>
      </c>
      <c r="B178">
        <f>RAW_DATA!B178</f>
        <v>0</v>
      </c>
      <c r="C178">
        <f>RAW_DATA!C178</f>
        <v>0</v>
      </c>
      <c r="D178">
        <f>RAW_DATA!D178</f>
        <v>0</v>
      </c>
      <c r="E178">
        <f>RAW_DATA!E178</f>
        <v>0</v>
      </c>
      <c r="F178">
        <f>RAW_DATA!F178</f>
        <v>0</v>
      </c>
      <c r="G178">
        <f>RAW_DATA!G178</f>
        <v>0</v>
      </c>
      <c r="H178">
        <f>RAW_DATA!H178</f>
        <v>0</v>
      </c>
      <c r="I178">
        <f>RAW_DATA!I178</f>
        <v>0</v>
      </c>
      <c r="J178">
        <f>RAW_DATA!J178</f>
        <v>0</v>
      </c>
      <c r="K178">
        <f>RAW_DATA!K178</f>
        <v>0</v>
      </c>
      <c r="L178">
        <f>RAW_DATA!L178</f>
        <v>0</v>
      </c>
      <c r="M178">
        <f>H178*I178</f>
        <v>0</v>
      </c>
      <c r="N178">
        <f>ISOWEEKNUM(B178)</f>
        <v>0</v>
      </c>
      <c r="O178">
        <f>TEXT(B178,"mmm")</f>
        <v>0</v>
      </c>
      <c r="P178">
        <f>"Q"&amp;ROUNDUP(MONTH(B178)/3,0)</f>
        <v>0</v>
      </c>
      <c r="Q178">
        <f>IF(J178&gt;=4,"High",IF(J178&gt;=3,"Medium","Low"))</f>
        <v>0</v>
      </c>
      <c r="R178">
        <f>IF(K178&lt;=5,"On Time","Delayed")</f>
        <v>0</v>
      </c>
    </row>
    <row r="179" spans="1:18">
      <c r="A179">
        <f>RAW_DATA!A179</f>
        <v>0</v>
      </c>
      <c r="B179">
        <f>RAW_DATA!B179</f>
        <v>0</v>
      </c>
      <c r="C179">
        <f>RAW_DATA!C179</f>
        <v>0</v>
      </c>
      <c r="D179">
        <f>RAW_DATA!D179</f>
        <v>0</v>
      </c>
      <c r="E179">
        <f>RAW_DATA!E179</f>
        <v>0</v>
      </c>
      <c r="F179">
        <f>RAW_DATA!F179</f>
        <v>0</v>
      </c>
      <c r="G179">
        <f>RAW_DATA!G179</f>
        <v>0</v>
      </c>
      <c r="H179">
        <f>RAW_DATA!H179</f>
        <v>0</v>
      </c>
      <c r="I179">
        <f>RAW_DATA!I179</f>
        <v>0</v>
      </c>
      <c r="J179">
        <f>RAW_DATA!J179</f>
        <v>0</v>
      </c>
      <c r="K179">
        <f>RAW_DATA!K179</f>
        <v>0</v>
      </c>
      <c r="L179">
        <f>RAW_DATA!L179</f>
        <v>0</v>
      </c>
      <c r="M179">
        <f>H179*I179</f>
        <v>0</v>
      </c>
      <c r="N179">
        <f>ISOWEEKNUM(B179)</f>
        <v>0</v>
      </c>
      <c r="O179">
        <f>TEXT(B179,"mmm")</f>
        <v>0</v>
      </c>
      <c r="P179">
        <f>"Q"&amp;ROUNDUP(MONTH(B179)/3,0)</f>
        <v>0</v>
      </c>
      <c r="Q179">
        <f>IF(J179&gt;=4,"High",IF(J179&gt;=3,"Medium","Low"))</f>
        <v>0</v>
      </c>
      <c r="R179">
        <f>IF(K179&lt;=5,"On Time","Delayed")</f>
        <v>0</v>
      </c>
    </row>
    <row r="180" spans="1:18">
      <c r="A180">
        <f>RAW_DATA!A180</f>
        <v>0</v>
      </c>
      <c r="B180">
        <f>RAW_DATA!B180</f>
        <v>0</v>
      </c>
      <c r="C180">
        <f>RAW_DATA!C180</f>
        <v>0</v>
      </c>
      <c r="D180">
        <f>RAW_DATA!D180</f>
        <v>0</v>
      </c>
      <c r="E180">
        <f>RAW_DATA!E180</f>
        <v>0</v>
      </c>
      <c r="F180">
        <f>RAW_DATA!F180</f>
        <v>0</v>
      </c>
      <c r="G180">
        <f>RAW_DATA!G180</f>
        <v>0</v>
      </c>
      <c r="H180">
        <f>RAW_DATA!H180</f>
        <v>0</v>
      </c>
      <c r="I180">
        <f>RAW_DATA!I180</f>
        <v>0</v>
      </c>
      <c r="J180">
        <f>RAW_DATA!J180</f>
        <v>0</v>
      </c>
      <c r="K180">
        <f>RAW_DATA!K180</f>
        <v>0</v>
      </c>
      <c r="L180">
        <f>RAW_DATA!L180</f>
        <v>0</v>
      </c>
      <c r="M180">
        <f>H180*I180</f>
        <v>0</v>
      </c>
      <c r="N180">
        <f>ISOWEEKNUM(B180)</f>
        <v>0</v>
      </c>
      <c r="O180">
        <f>TEXT(B180,"mmm")</f>
        <v>0</v>
      </c>
      <c r="P180">
        <f>"Q"&amp;ROUNDUP(MONTH(B180)/3,0)</f>
        <v>0</v>
      </c>
      <c r="Q180">
        <f>IF(J180&gt;=4,"High",IF(J180&gt;=3,"Medium","Low"))</f>
        <v>0</v>
      </c>
      <c r="R180">
        <f>IF(K180&lt;=5,"On Time","Delayed")</f>
        <v>0</v>
      </c>
    </row>
    <row r="181" spans="1:18">
      <c r="A181">
        <f>RAW_DATA!A181</f>
        <v>0</v>
      </c>
      <c r="B181">
        <f>RAW_DATA!B181</f>
        <v>0</v>
      </c>
      <c r="C181">
        <f>RAW_DATA!C181</f>
        <v>0</v>
      </c>
      <c r="D181">
        <f>RAW_DATA!D181</f>
        <v>0</v>
      </c>
      <c r="E181">
        <f>RAW_DATA!E181</f>
        <v>0</v>
      </c>
      <c r="F181">
        <f>RAW_DATA!F181</f>
        <v>0</v>
      </c>
      <c r="G181">
        <f>RAW_DATA!G181</f>
        <v>0</v>
      </c>
      <c r="H181">
        <f>RAW_DATA!H181</f>
        <v>0</v>
      </c>
      <c r="I181">
        <f>RAW_DATA!I181</f>
        <v>0</v>
      </c>
      <c r="J181">
        <f>RAW_DATA!J181</f>
        <v>0</v>
      </c>
      <c r="K181">
        <f>RAW_DATA!K181</f>
        <v>0</v>
      </c>
      <c r="L181">
        <f>RAW_DATA!L181</f>
        <v>0</v>
      </c>
      <c r="M181">
        <f>H181*I181</f>
        <v>0</v>
      </c>
      <c r="N181">
        <f>ISOWEEKNUM(B181)</f>
        <v>0</v>
      </c>
      <c r="O181">
        <f>TEXT(B181,"mmm")</f>
        <v>0</v>
      </c>
      <c r="P181">
        <f>"Q"&amp;ROUNDUP(MONTH(B181)/3,0)</f>
        <v>0</v>
      </c>
      <c r="Q181">
        <f>IF(J181&gt;=4,"High",IF(J181&gt;=3,"Medium","Low"))</f>
        <v>0</v>
      </c>
      <c r="R181">
        <f>IF(K181&lt;=5,"On Time","Delayed")</f>
        <v>0</v>
      </c>
    </row>
    <row r="182" spans="1:18">
      <c r="A182">
        <f>RAW_DATA!A182</f>
        <v>0</v>
      </c>
      <c r="B182">
        <f>RAW_DATA!B182</f>
        <v>0</v>
      </c>
      <c r="C182">
        <f>RAW_DATA!C182</f>
        <v>0</v>
      </c>
      <c r="D182">
        <f>RAW_DATA!D182</f>
        <v>0</v>
      </c>
      <c r="E182">
        <f>RAW_DATA!E182</f>
        <v>0</v>
      </c>
      <c r="F182">
        <f>RAW_DATA!F182</f>
        <v>0</v>
      </c>
      <c r="G182">
        <f>RAW_DATA!G182</f>
        <v>0</v>
      </c>
      <c r="H182">
        <f>RAW_DATA!H182</f>
        <v>0</v>
      </c>
      <c r="I182">
        <f>RAW_DATA!I182</f>
        <v>0</v>
      </c>
      <c r="J182">
        <f>RAW_DATA!J182</f>
        <v>0</v>
      </c>
      <c r="K182">
        <f>RAW_DATA!K182</f>
        <v>0</v>
      </c>
      <c r="L182">
        <f>RAW_DATA!L182</f>
        <v>0</v>
      </c>
      <c r="M182">
        <f>H182*I182</f>
        <v>0</v>
      </c>
      <c r="N182">
        <f>ISOWEEKNUM(B182)</f>
        <v>0</v>
      </c>
      <c r="O182">
        <f>TEXT(B182,"mmm")</f>
        <v>0</v>
      </c>
      <c r="P182">
        <f>"Q"&amp;ROUNDUP(MONTH(B182)/3,0)</f>
        <v>0</v>
      </c>
      <c r="Q182">
        <f>IF(J182&gt;=4,"High",IF(J182&gt;=3,"Medium","Low"))</f>
        <v>0</v>
      </c>
      <c r="R182">
        <f>IF(K182&lt;=5,"On Time","Delayed")</f>
        <v>0</v>
      </c>
    </row>
    <row r="183" spans="1:18">
      <c r="A183">
        <f>RAW_DATA!A183</f>
        <v>0</v>
      </c>
      <c r="B183">
        <f>RAW_DATA!B183</f>
        <v>0</v>
      </c>
      <c r="C183">
        <f>RAW_DATA!C183</f>
        <v>0</v>
      </c>
      <c r="D183">
        <f>RAW_DATA!D183</f>
        <v>0</v>
      </c>
      <c r="E183">
        <f>RAW_DATA!E183</f>
        <v>0</v>
      </c>
      <c r="F183">
        <f>RAW_DATA!F183</f>
        <v>0</v>
      </c>
      <c r="G183">
        <f>RAW_DATA!G183</f>
        <v>0</v>
      </c>
      <c r="H183">
        <f>RAW_DATA!H183</f>
        <v>0</v>
      </c>
      <c r="I183">
        <f>RAW_DATA!I183</f>
        <v>0</v>
      </c>
      <c r="J183">
        <f>RAW_DATA!J183</f>
        <v>0</v>
      </c>
      <c r="K183">
        <f>RAW_DATA!K183</f>
        <v>0</v>
      </c>
      <c r="L183">
        <f>RAW_DATA!L183</f>
        <v>0</v>
      </c>
      <c r="M183">
        <f>H183*I183</f>
        <v>0</v>
      </c>
      <c r="N183">
        <f>ISOWEEKNUM(B183)</f>
        <v>0</v>
      </c>
      <c r="O183">
        <f>TEXT(B183,"mmm")</f>
        <v>0</v>
      </c>
      <c r="P183">
        <f>"Q"&amp;ROUNDUP(MONTH(B183)/3,0)</f>
        <v>0</v>
      </c>
      <c r="Q183">
        <f>IF(J183&gt;=4,"High",IF(J183&gt;=3,"Medium","Low"))</f>
        <v>0</v>
      </c>
      <c r="R183">
        <f>IF(K183&lt;=5,"On Time","Delayed")</f>
        <v>0</v>
      </c>
    </row>
    <row r="184" spans="1:18">
      <c r="A184">
        <f>RAW_DATA!A184</f>
        <v>0</v>
      </c>
      <c r="B184">
        <f>RAW_DATA!B184</f>
        <v>0</v>
      </c>
      <c r="C184">
        <f>RAW_DATA!C184</f>
        <v>0</v>
      </c>
      <c r="D184">
        <f>RAW_DATA!D184</f>
        <v>0</v>
      </c>
      <c r="E184">
        <f>RAW_DATA!E184</f>
        <v>0</v>
      </c>
      <c r="F184">
        <f>RAW_DATA!F184</f>
        <v>0</v>
      </c>
      <c r="G184">
        <f>RAW_DATA!G184</f>
        <v>0</v>
      </c>
      <c r="H184">
        <f>RAW_DATA!H184</f>
        <v>0</v>
      </c>
      <c r="I184">
        <f>RAW_DATA!I184</f>
        <v>0</v>
      </c>
      <c r="J184">
        <f>RAW_DATA!J184</f>
        <v>0</v>
      </c>
      <c r="K184">
        <f>RAW_DATA!K184</f>
        <v>0</v>
      </c>
      <c r="L184">
        <f>RAW_DATA!L184</f>
        <v>0</v>
      </c>
      <c r="M184">
        <f>H184*I184</f>
        <v>0</v>
      </c>
      <c r="N184">
        <f>ISOWEEKNUM(B184)</f>
        <v>0</v>
      </c>
      <c r="O184">
        <f>TEXT(B184,"mmm")</f>
        <v>0</v>
      </c>
      <c r="P184">
        <f>"Q"&amp;ROUNDUP(MONTH(B184)/3,0)</f>
        <v>0</v>
      </c>
      <c r="Q184">
        <f>IF(J184&gt;=4,"High",IF(J184&gt;=3,"Medium","Low"))</f>
        <v>0</v>
      </c>
      <c r="R184">
        <f>IF(K184&lt;=5,"On Time","Delayed")</f>
        <v>0</v>
      </c>
    </row>
    <row r="185" spans="1:18">
      <c r="A185">
        <f>RAW_DATA!A185</f>
        <v>0</v>
      </c>
      <c r="B185">
        <f>RAW_DATA!B185</f>
        <v>0</v>
      </c>
      <c r="C185">
        <f>RAW_DATA!C185</f>
        <v>0</v>
      </c>
      <c r="D185">
        <f>RAW_DATA!D185</f>
        <v>0</v>
      </c>
      <c r="E185">
        <f>RAW_DATA!E185</f>
        <v>0</v>
      </c>
      <c r="F185">
        <f>RAW_DATA!F185</f>
        <v>0</v>
      </c>
      <c r="G185">
        <f>RAW_DATA!G185</f>
        <v>0</v>
      </c>
      <c r="H185">
        <f>RAW_DATA!H185</f>
        <v>0</v>
      </c>
      <c r="I185">
        <f>RAW_DATA!I185</f>
        <v>0</v>
      </c>
      <c r="J185">
        <f>RAW_DATA!J185</f>
        <v>0</v>
      </c>
      <c r="K185">
        <f>RAW_DATA!K185</f>
        <v>0</v>
      </c>
      <c r="L185">
        <f>RAW_DATA!L185</f>
        <v>0</v>
      </c>
      <c r="M185">
        <f>H185*I185</f>
        <v>0</v>
      </c>
      <c r="N185">
        <f>ISOWEEKNUM(B185)</f>
        <v>0</v>
      </c>
      <c r="O185">
        <f>TEXT(B185,"mmm")</f>
        <v>0</v>
      </c>
      <c r="P185">
        <f>"Q"&amp;ROUNDUP(MONTH(B185)/3,0)</f>
        <v>0</v>
      </c>
      <c r="Q185">
        <f>IF(J185&gt;=4,"High",IF(J185&gt;=3,"Medium","Low"))</f>
        <v>0</v>
      </c>
      <c r="R185">
        <f>IF(K185&lt;=5,"On Time","Delayed")</f>
        <v>0</v>
      </c>
    </row>
    <row r="186" spans="1:18">
      <c r="A186">
        <f>RAW_DATA!A186</f>
        <v>0</v>
      </c>
      <c r="B186">
        <f>RAW_DATA!B186</f>
        <v>0</v>
      </c>
      <c r="C186">
        <f>RAW_DATA!C186</f>
        <v>0</v>
      </c>
      <c r="D186">
        <f>RAW_DATA!D186</f>
        <v>0</v>
      </c>
      <c r="E186">
        <f>RAW_DATA!E186</f>
        <v>0</v>
      </c>
      <c r="F186">
        <f>RAW_DATA!F186</f>
        <v>0</v>
      </c>
      <c r="G186">
        <f>RAW_DATA!G186</f>
        <v>0</v>
      </c>
      <c r="H186">
        <f>RAW_DATA!H186</f>
        <v>0</v>
      </c>
      <c r="I186">
        <f>RAW_DATA!I186</f>
        <v>0</v>
      </c>
      <c r="J186">
        <f>RAW_DATA!J186</f>
        <v>0</v>
      </c>
      <c r="K186">
        <f>RAW_DATA!K186</f>
        <v>0</v>
      </c>
      <c r="L186">
        <f>RAW_DATA!L186</f>
        <v>0</v>
      </c>
      <c r="M186">
        <f>H186*I186</f>
        <v>0</v>
      </c>
      <c r="N186">
        <f>ISOWEEKNUM(B186)</f>
        <v>0</v>
      </c>
      <c r="O186">
        <f>TEXT(B186,"mmm")</f>
        <v>0</v>
      </c>
      <c r="P186">
        <f>"Q"&amp;ROUNDUP(MONTH(B186)/3,0)</f>
        <v>0</v>
      </c>
      <c r="Q186">
        <f>IF(J186&gt;=4,"High",IF(J186&gt;=3,"Medium","Low"))</f>
        <v>0</v>
      </c>
      <c r="R186">
        <f>IF(K186&lt;=5,"On Time","Delayed")</f>
        <v>0</v>
      </c>
    </row>
    <row r="187" spans="1:18">
      <c r="A187">
        <f>RAW_DATA!A187</f>
        <v>0</v>
      </c>
      <c r="B187">
        <f>RAW_DATA!B187</f>
        <v>0</v>
      </c>
      <c r="C187">
        <f>RAW_DATA!C187</f>
        <v>0</v>
      </c>
      <c r="D187">
        <f>RAW_DATA!D187</f>
        <v>0</v>
      </c>
      <c r="E187">
        <f>RAW_DATA!E187</f>
        <v>0</v>
      </c>
      <c r="F187">
        <f>RAW_DATA!F187</f>
        <v>0</v>
      </c>
      <c r="G187">
        <f>RAW_DATA!G187</f>
        <v>0</v>
      </c>
      <c r="H187">
        <f>RAW_DATA!H187</f>
        <v>0</v>
      </c>
      <c r="I187">
        <f>RAW_DATA!I187</f>
        <v>0</v>
      </c>
      <c r="J187">
        <f>RAW_DATA!J187</f>
        <v>0</v>
      </c>
      <c r="K187">
        <f>RAW_DATA!K187</f>
        <v>0</v>
      </c>
      <c r="L187">
        <f>RAW_DATA!L187</f>
        <v>0</v>
      </c>
      <c r="M187">
        <f>H187*I187</f>
        <v>0</v>
      </c>
      <c r="N187">
        <f>ISOWEEKNUM(B187)</f>
        <v>0</v>
      </c>
      <c r="O187">
        <f>TEXT(B187,"mmm")</f>
        <v>0</v>
      </c>
      <c r="P187">
        <f>"Q"&amp;ROUNDUP(MONTH(B187)/3,0)</f>
        <v>0</v>
      </c>
      <c r="Q187">
        <f>IF(J187&gt;=4,"High",IF(J187&gt;=3,"Medium","Low"))</f>
        <v>0</v>
      </c>
      <c r="R187">
        <f>IF(K187&lt;=5,"On Time","Delayed")</f>
        <v>0</v>
      </c>
    </row>
    <row r="188" spans="1:18">
      <c r="A188">
        <f>RAW_DATA!A188</f>
        <v>0</v>
      </c>
      <c r="B188">
        <f>RAW_DATA!B188</f>
        <v>0</v>
      </c>
      <c r="C188">
        <f>RAW_DATA!C188</f>
        <v>0</v>
      </c>
      <c r="D188">
        <f>RAW_DATA!D188</f>
        <v>0</v>
      </c>
      <c r="E188">
        <f>RAW_DATA!E188</f>
        <v>0</v>
      </c>
      <c r="F188">
        <f>RAW_DATA!F188</f>
        <v>0</v>
      </c>
      <c r="G188">
        <f>RAW_DATA!G188</f>
        <v>0</v>
      </c>
      <c r="H188">
        <f>RAW_DATA!H188</f>
        <v>0</v>
      </c>
      <c r="I188">
        <f>RAW_DATA!I188</f>
        <v>0</v>
      </c>
      <c r="J188">
        <f>RAW_DATA!J188</f>
        <v>0</v>
      </c>
      <c r="K188">
        <f>RAW_DATA!K188</f>
        <v>0</v>
      </c>
      <c r="L188">
        <f>RAW_DATA!L188</f>
        <v>0</v>
      </c>
      <c r="M188">
        <f>H188*I188</f>
        <v>0</v>
      </c>
      <c r="N188">
        <f>ISOWEEKNUM(B188)</f>
        <v>0</v>
      </c>
      <c r="O188">
        <f>TEXT(B188,"mmm")</f>
        <v>0</v>
      </c>
      <c r="P188">
        <f>"Q"&amp;ROUNDUP(MONTH(B188)/3,0)</f>
        <v>0</v>
      </c>
      <c r="Q188">
        <f>IF(J188&gt;=4,"High",IF(J188&gt;=3,"Medium","Low"))</f>
        <v>0</v>
      </c>
      <c r="R188">
        <f>IF(K188&lt;=5,"On Time","Delayed")</f>
        <v>0</v>
      </c>
    </row>
    <row r="189" spans="1:18">
      <c r="A189">
        <f>RAW_DATA!A189</f>
        <v>0</v>
      </c>
      <c r="B189">
        <f>RAW_DATA!B189</f>
        <v>0</v>
      </c>
      <c r="C189">
        <f>RAW_DATA!C189</f>
        <v>0</v>
      </c>
      <c r="D189">
        <f>RAW_DATA!D189</f>
        <v>0</v>
      </c>
      <c r="E189">
        <f>RAW_DATA!E189</f>
        <v>0</v>
      </c>
      <c r="F189">
        <f>RAW_DATA!F189</f>
        <v>0</v>
      </c>
      <c r="G189">
        <f>RAW_DATA!G189</f>
        <v>0</v>
      </c>
      <c r="H189">
        <f>RAW_DATA!H189</f>
        <v>0</v>
      </c>
      <c r="I189">
        <f>RAW_DATA!I189</f>
        <v>0</v>
      </c>
      <c r="J189">
        <f>RAW_DATA!J189</f>
        <v>0</v>
      </c>
      <c r="K189">
        <f>RAW_DATA!K189</f>
        <v>0</v>
      </c>
      <c r="L189">
        <f>RAW_DATA!L189</f>
        <v>0</v>
      </c>
      <c r="M189">
        <f>H189*I189</f>
        <v>0</v>
      </c>
      <c r="N189">
        <f>ISOWEEKNUM(B189)</f>
        <v>0</v>
      </c>
      <c r="O189">
        <f>TEXT(B189,"mmm")</f>
        <v>0</v>
      </c>
      <c r="P189">
        <f>"Q"&amp;ROUNDUP(MONTH(B189)/3,0)</f>
        <v>0</v>
      </c>
      <c r="Q189">
        <f>IF(J189&gt;=4,"High",IF(J189&gt;=3,"Medium","Low"))</f>
        <v>0</v>
      </c>
      <c r="R189">
        <f>IF(K189&lt;=5,"On Time","Delayed")</f>
        <v>0</v>
      </c>
    </row>
    <row r="190" spans="1:18">
      <c r="A190">
        <f>RAW_DATA!A190</f>
        <v>0</v>
      </c>
      <c r="B190">
        <f>RAW_DATA!B190</f>
        <v>0</v>
      </c>
      <c r="C190">
        <f>RAW_DATA!C190</f>
        <v>0</v>
      </c>
      <c r="D190">
        <f>RAW_DATA!D190</f>
        <v>0</v>
      </c>
      <c r="E190">
        <f>RAW_DATA!E190</f>
        <v>0</v>
      </c>
      <c r="F190">
        <f>RAW_DATA!F190</f>
        <v>0</v>
      </c>
      <c r="G190">
        <f>RAW_DATA!G190</f>
        <v>0</v>
      </c>
      <c r="H190">
        <f>RAW_DATA!H190</f>
        <v>0</v>
      </c>
      <c r="I190">
        <f>RAW_DATA!I190</f>
        <v>0</v>
      </c>
      <c r="J190">
        <f>RAW_DATA!J190</f>
        <v>0</v>
      </c>
      <c r="K190">
        <f>RAW_DATA!K190</f>
        <v>0</v>
      </c>
      <c r="L190">
        <f>RAW_DATA!L190</f>
        <v>0</v>
      </c>
      <c r="M190">
        <f>H190*I190</f>
        <v>0</v>
      </c>
      <c r="N190">
        <f>ISOWEEKNUM(B190)</f>
        <v>0</v>
      </c>
      <c r="O190">
        <f>TEXT(B190,"mmm")</f>
        <v>0</v>
      </c>
      <c r="P190">
        <f>"Q"&amp;ROUNDUP(MONTH(B190)/3,0)</f>
        <v>0</v>
      </c>
      <c r="Q190">
        <f>IF(J190&gt;=4,"High",IF(J190&gt;=3,"Medium","Low"))</f>
        <v>0</v>
      </c>
      <c r="R190">
        <f>IF(K190&lt;=5,"On Time","Delayed")</f>
        <v>0</v>
      </c>
    </row>
    <row r="191" spans="1:18">
      <c r="A191">
        <f>RAW_DATA!A191</f>
        <v>0</v>
      </c>
      <c r="B191">
        <f>RAW_DATA!B191</f>
        <v>0</v>
      </c>
      <c r="C191">
        <f>RAW_DATA!C191</f>
        <v>0</v>
      </c>
      <c r="D191">
        <f>RAW_DATA!D191</f>
        <v>0</v>
      </c>
      <c r="E191">
        <f>RAW_DATA!E191</f>
        <v>0</v>
      </c>
      <c r="F191">
        <f>RAW_DATA!F191</f>
        <v>0</v>
      </c>
      <c r="G191">
        <f>RAW_DATA!G191</f>
        <v>0</v>
      </c>
      <c r="H191">
        <f>RAW_DATA!H191</f>
        <v>0</v>
      </c>
      <c r="I191">
        <f>RAW_DATA!I191</f>
        <v>0</v>
      </c>
      <c r="J191">
        <f>RAW_DATA!J191</f>
        <v>0</v>
      </c>
      <c r="K191">
        <f>RAW_DATA!K191</f>
        <v>0</v>
      </c>
      <c r="L191">
        <f>RAW_DATA!L191</f>
        <v>0</v>
      </c>
      <c r="M191">
        <f>H191*I191</f>
        <v>0</v>
      </c>
      <c r="N191">
        <f>ISOWEEKNUM(B191)</f>
        <v>0</v>
      </c>
      <c r="O191">
        <f>TEXT(B191,"mmm")</f>
        <v>0</v>
      </c>
      <c r="P191">
        <f>"Q"&amp;ROUNDUP(MONTH(B191)/3,0)</f>
        <v>0</v>
      </c>
      <c r="Q191">
        <f>IF(J191&gt;=4,"High",IF(J191&gt;=3,"Medium","Low"))</f>
        <v>0</v>
      </c>
      <c r="R191">
        <f>IF(K191&lt;=5,"On Time","Delayed")</f>
        <v>0</v>
      </c>
    </row>
    <row r="192" spans="1:18">
      <c r="A192">
        <f>RAW_DATA!A192</f>
        <v>0</v>
      </c>
      <c r="B192">
        <f>RAW_DATA!B192</f>
        <v>0</v>
      </c>
      <c r="C192">
        <f>RAW_DATA!C192</f>
        <v>0</v>
      </c>
      <c r="D192">
        <f>RAW_DATA!D192</f>
        <v>0</v>
      </c>
      <c r="E192">
        <f>RAW_DATA!E192</f>
        <v>0</v>
      </c>
      <c r="F192">
        <f>RAW_DATA!F192</f>
        <v>0</v>
      </c>
      <c r="G192">
        <f>RAW_DATA!G192</f>
        <v>0</v>
      </c>
      <c r="H192">
        <f>RAW_DATA!H192</f>
        <v>0</v>
      </c>
      <c r="I192">
        <f>RAW_DATA!I192</f>
        <v>0</v>
      </c>
      <c r="J192">
        <f>RAW_DATA!J192</f>
        <v>0</v>
      </c>
      <c r="K192">
        <f>RAW_DATA!K192</f>
        <v>0</v>
      </c>
      <c r="L192">
        <f>RAW_DATA!L192</f>
        <v>0</v>
      </c>
      <c r="M192">
        <f>H192*I192</f>
        <v>0</v>
      </c>
      <c r="N192">
        <f>ISOWEEKNUM(B192)</f>
        <v>0</v>
      </c>
      <c r="O192">
        <f>TEXT(B192,"mmm")</f>
        <v>0</v>
      </c>
      <c r="P192">
        <f>"Q"&amp;ROUNDUP(MONTH(B192)/3,0)</f>
        <v>0</v>
      </c>
      <c r="Q192">
        <f>IF(J192&gt;=4,"High",IF(J192&gt;=3,"Medium","Low"))</f>
        <v>0</v>
      </c>
      <c r="R192">
        <f>IF(K192&lt;=5,"On Time","Delayed")</f>
        <v>0</v>
      </c>
    </row>
    <row r="193" spans="1:18">
      <c r="A193">
        <f>RAW_DATA!A193</f>
        <v>0</v>
      </c>
      <c r="B193">
        <f>RAW_DATA!B193</f>
        <v>0</v>
      </c>
      <c r="C193">
        <f>RAW_DATA!C193</f>
        <v>0</v>
      </c>
      <c r="D193">
        <f>RAW_DATA!D193</f>
        <v>0</v>
      </c>
      <c r="E193">
        <f>RAW_DATA!E193</f>
        <v>0</v>
      </c>
      <c r="F193">
        <f>RAW_DATA!F193</f>
        <v>0</v>
      </c>
      <c r="G193">
        <f>RAW_DATA!G193</f>
        <v>0</v>
      </c>
      <c r="H193">
        <f>RAW_DATA!H193</f>
        <v>0</v>
      </c>
      <c r="I193">
        <f>RAW_DATA!I193</f>
        <v>0</v>
      </c>
      <c r="J193">
        <f>RAW_DATA!J193</f>
        <v>0</v>
      </c>
      <c r="K193">
        <f>RAW_DATA!K193</f>
        <v>0</v>
      </c>
      <c r="L193">
        <f>RAW_DATA!L193</f>
        <v>0</v>
      </c>
      <c r="M193">
        <f>H193*I193</f>
        <v>0</v>
      </c>
      <c r="N193">
        <f>ISOWEEKNUM(B193)</f>
        <v>0</v>
      </c>
      <c r="O193">
        <f>TEXT(B193,"mmm")</f>
        <v>0</v>
      </c>
      <c r="P193">
        <f>"Q"&amp;ROUNDUP(MONTH(B193)/3,0)</f>
        <v>0</v>
      </c>
      <c r="Q193">
        <f>IF(J193&gt;=4,"High",IF(J193&gt;=3,"Medium","Low"))</f>
        <v>0</v>
      </c>
      <c r="R193">
        <f>IF(K193&lt;=5,"On Time","Delayed")</f>
        <v>0</v>
      </c>
    </row>
    <row r="194" spans="1:18">
      <c r="A194">
        <f>RAW_DATA!A194</f>
        <v>0</v>
      </c>
      <c r="B194">
        <f>RAW_DATA!B194</f>
        <v>0</v>
      </c>
      <c r="C194">
        <f>RAW_DATA!C194</f>
        <v>0</v>
      </c>
      <c r="D194">
        <f>RAW_DATA!D194</f>
        <v>0</v>
      </c>
      <c r="E194">
        <f>RAW_DATA!E194</f>
        <v>0</v>
      </c>
      <c r="F194">
        <f>RAW_DATA!F194</f>
        <v>0</v>
      </c>
      <c r="G194">
        <f>RAW_DATA!G194</f>
        <v>0</v>
      </c>
      <c r="H194">
        <f>RAW_DATA!H194</f>
        <v>0</v>
      </c>
      <c r="I194">
        <f>RAW_DATA!I194</f>
        <v>0</v>
      </c>
      <c r="J194">
        <f>RAW_DATA!J194</f>
        <v>0</v>
      </c>
      <c r="K194">
        <f>RAW_DATA!K194</f>
        <v>0</v>
      </c>
      <c r="L194">
        <f>RAW_DATA!L194</f>
        <v>0</v>
      </c>
      <c r="M194">
        <f>H194*I194</f>
        <v>0</v>
      </c>
      <c r="N194">
        <f>ISOWEEKNUM(B194)</f>
        <v>0</v>
      </c>
      <c r="O194">
        <f>TEXT(B194,"mmm")</f>
        <v>0</v>
      </c>
      <c r="P194">
        <f>"Q"&amp;ROUNDUP(MONTH(B194)/3,0)</f>
        <v>0</v>
      </c>
      <c r="Q194">
        <f>IF(J194&gt;=4,"High",IF(J194&gt;=3,"Medium","Low"))</f>
        <v>0</v>
      </c>
      <c r="R194">
        <f>IF(K194&lt;=5,"On Time","Delayed")</f>
        <v>0</v>
      </c>
    </row>
    <row r="195" spans="1:18">
      <c r="A195">
        <f>RAW_DATA!A195</f>
        <v>0</v>
      </c>
      <c r="B195">
        <f>RAW_DATA!B195</f>
        <v>0</v>
      </c>
      <c r="C195">
        <f>RAW_DATA!C195</f>
        <v>0</v>
      </c>
      <c r="D195">
        <f>RAW_DATA!D195</f>
        <v>0</v>
      </c>
      <c r="E195">
        <f>RAW_DATA!E195</f>
        <v>0</v>
      </c>
      <c r="F195">
        <f>RAW_DATA!F195</f>
        <v>0</v>
      </c>
      <c r="G195">
        <f>RAW_DATA!G195</f>
        <v>0</v>
      </c>
      <c r="H195">
        <f>RAW_DATA!H195</f>
        <v>0</v>
      </c>
      <c r="I195">
        <f>RAW_DATA!I195</f>
        <v>0</v>
      </c>
      <c r="J195">
        <f>RAW_DATA!J195</f>
        <v>0</v>
      </c>
      <c r="K195">
        <f>RAW_DATA!K195</f>
        <v>0</v>
      </c>
      <c r="L195">
        <f>RAW_DATA!L195</f>
        <v>0</v>
      </c>
      <c r="M195">
        <f>H195*I195</f>
        <v>0</v>
      </c>
      <c r="N195">
        <f>ISOWEEKNUM(B195)</f>
        <v>0</v>
      </c>
      <c r="O195">
        <f>TEXT(B195,"mmm")</f>
        <v>0</v>
      </c>
      <c r="P195">
        <f>"Q"&amp;ROUNDUP(MONTH(B195)/3,0)</f>
        <v>0</v>
      </c>
      <c r="Q195">
        <f>IF(J195&gt;=4,"High",IF(J195&gt;=3,"Medium","Low"))</f>
        <v>0</v>
      </c>
      <c r="R195">
        <f>IF(K195&lt;=5,"On Time","Delayed")</f>
        <v>0</v>
      </c>
    </row>
    <row r="196" spans="1:18">
      <c r="A196">
        <f>RAW_DATA!A196</f>
        <v>0</v>
      </c>
      <c r="B196">
        <f>RAW_DATA!B196</f>
        <v>0</v>
      </c>
      <c r="C196">
        <f>RAW_DATA!C196</f>
        <v>0</v>
      </c>
      <c r="D196">
        <f>RAW_DATA!D196</f>
        <v>0</v>
      </c>
      <c r="E196">
        <f>RAW_DATA!E196</f>
        <v>0</v>
      </c>
      <c r="F196">
        <f>RAW_DATA!F196</f>
        <v>0</v>
      </c>
      <c r="G196">
        <f>RAW_DATA!G196</f>
        <v>0</v>
      </c>
      <c r="H196">
        <f>RAW_DATA!H196</f>
        <v>0</v>
      </c>
      <c r="I196">
        <f>RAW_DATA!I196</f>
        <v>0</v>
      </c>
      <c r="J196">
        <f>RAW_DATA!J196</f>
        <v>0</v>
      </c>
      <c r="K196">
        <f>RAW_DATA!K196</f>
        <v>0</v>
      </c>
      <c r="L196">
        <f>RAW_DATA!L196</f>
        <v>0</v>
      </c>
      <c r="M196">
        <f>H196*I196</f>
        <v>0</v>
      </c>
      <c r="N196">
        <f>ISOWEEKNUM(B196)</f>
        <v>0</v>
      </c>
      <c r="O196">
        <f>TEXT(B196,"mmm")</f>
        <v>0</v>
      </c>
      <c r="P196">
        <f>"Q"&amp;ROUNDUP(MONTH(B196)/3,0)</f>
        <v>0</v>
      </c>
      <c r="Q196">
        <f>IF(J196&gt;=4,"High",IF(J196&gt;=3,"Medium","Low"))</f>
        <v>0</v>
      </c>
      <c r="R196">
        <f>IF(K196&lt;=5,"On Time","Delayed")</f>
        <v>0</v>
      </c>
    </row>
    <row r="197" spans="1:18">
      <c r="A197">
        <f>RAW_DATA!A197</f>
        <v>0</v>
      </c>
      <c r="B197">
        <f>RAW_DATA!B197</f>
        <v>0</v>
      </c>
      <c r="C197">
        <f>RAW_DATA!C197</f>
        <v>0</v>
      </c>
      <c r="D197">
        <f>RAW_DATA!D197</f>
        <v>0</v>
      </c>
      <c r="E197">
        <f>RAW_DATA!E197</f>
        <v>0</v>
      </c>
      <c r="F197">
        <f>RAW_DATA!F197</f>
        <v>0</v>
      </c>
      <c r="G197">
        <f>RAW_DATA!G197</f>
        <v>0</v>
      </c>
      <c r="H197">
        <f>RAW_DATA!H197</f>
        <v>0</v>
      </c>
      <c r="I197">
        <f>RAW_DATA!I197</f>
        <v>0</v>
      </c>
      <c r="J197">
        <f>RAW_DATA!J197</f>
        <v>0</v>
      </c>
      <c r="K197">
        <f>RAW_DATA!K197</f>
        <v>0</v>
      </c>
      <c r="L197">
        <f>RAW_DATA!L197</f>
        <v>0</v>
      </c>
      <c r="M197">
        <f>H197*I197</f>
        <v>0</v>
      </c>
      <c r="N197">
        <f>ISOWEEKNUM(B197)</f>
        <v>0</v>
      </c>
      <c r="O197">
        <f>TEXT(B197,"mmm")</f>
        <v>0</v>
      </c>
      <c r="P197">
        <f>"Q"&amp;ROUNDUP(MONTH(B197)/3,0)</f>
        <v>0</v>
      </c>
      <c r="Q197">
        <f>IF(J197&gt;=4,"High",IF(J197&gt;=3,"Medium","Low"))</f>
        <v>0</v>
      </c>
      <c r="R197">
        <f>IF(K197&lt;=5,"On Time","Delayed")</f>
        <v>0</v>
      </c>
    </row>
    <row r="198" spans="1:18">
      <c r="A198">
        <f>RAW_DATA!A198</f>
        <v>0</v>
      </c>
      <c r="B198">
        <f>RAW_DATA!B198</f>
        <v>0</v>
      </c>
      <c r="C198">
        <f>RAW_DATA!C198</f>
        <v>0</v>
      </c>
      <c r="D198">
        <f>RAW_DATA!D198</f>
        <v>0</v>
      </c>
      <c r="E198">
        <f>RAW_DATA!E198</f>
        <v>0</v>
      </c>
      <c r="F198">
        <f>RAW_DATA!F198</f>
        <v>0</v>
      </c>
      <c r="G198">
        <f>RAW_DATA!G198</f>
        <v>0</v>
      </c>
      <c r="H198">
        <f>RAW_DATA!H198</f>
        <v>0</v>
      </c>
      <c r="I198">
        <f>RAW_DATA!I198</f>
        <v>0</v>
      </c>
      <c r="J198">
        <f>RAW_DATA!J198</f>
        <v>0</v>
      </c>
      <c r="K198">
        <f>RAW_DATA!K198</f>
        <v>0</v>
      </c>
      <c r="L198">
        <f>RAW_DATA!L198</f>
        <v>0</v>
      </c>
      <c r="M198">
        <f>H198*I198</f>
        <v>0</v>
      </c>
      <c r="N198">
        <f>ISOWEEKNUM(B198)</f>
        <v>0</v>
      </c>
      <c r="O198">
        <f>TEXT(B198,"mmm")</f>
        <v>0</v>
      </c>
      <c r="P198">
        <f>"Q"&amp;ROUNDUP(MONTH(B198)/3,0)</f>
        <v>0</v>
      </c>
      <c r="Q198">
        <f>IF(J198&gt;=4,"High",IF(J198&gt;=3,"Medium","Low"))</f>
        <v>0</v>
      </c>
      <c r="R198">
        <f>IF(K198&lt;=5,"On Time","Delayed")</f>
        <v>0</v>
      </c>
    </row>
    <row r="199" spans="1:18">
      <c r="A199">
        <f>RAW_DATA!A199</f>
        <v>0</v>
      </c>
      <c r="B199">
        <f>RAW_DATA!B199</f>
        <v>0</v>
      </c>
      <c r="C199">
        <f>RAW_DATA!C199</f>
        <v>0</v>
      </c>
      <c r="D199">
        <f>RAW_DATA!D199</f>
        <v>0</v>
      </c>
      <c r="E199">
        <f>RAW_DATA!E199</f>
        <v>0</v>
      </c>
      <c r="F199">
        <f>RAW_DATA!F199</f>
        <v>0</v>
      </c>
      <c r="G199">
        <f>RAW_DATA!G199</f>
        <v>0</v>
      </c>
      <c r="H199">
        <f>RAW_DATA!H199</f>
        <v>0</v>
      </c>
      <c r="I199">
        <f>RAW_DATA!I199</f>
        <v>0</v>
      </c>
      <c r="J199">
        <f>RAW_DATA!J199</f>
        <v>0</v>
      </c>
      <c r="K199">
        <f>RAW_DATA!K199</f>
        <v>0</v>
      </c>
      <c r="L199">
        <f>RAW_DATA!L199</f>
        <v>0</v>
      </c>
      <c r="M199">
        <f>H199*I199</f>
        <v>0</v>
      </c>
      <c r="N199">
        <f>ISOWEEKNUM(B199)</f>
        <v>0</v>
      </c>
      <c r="O199">
        <f>TEXT(B199,"mmm")</f>
        <v>0</v>
      </c>
      <c r="P199">
        <f>"Q"&amp;ROUNDUP(MONTH(B199)/3,0)</f>
        <v>0</v>
      </c>
      <c r="Q199">
        <f>IF(J199&gt;=4,"High",IF(J199&gt;=3,"Medium","Low"))</f>
        <v>0</v>
      </c>
      <c r="R199">
        <f>IF(K199&lt;=5,"On Time","Delayed")</f>
        <v>0</v>
      </c>
    </row>
    <row r="200" spans="1:18">
      <c r="A200">
        <f>RAW_DATA!A200</f>
        <v>0</v>
      </c>
      <c r="B200">
        <f>RAW_DATA!B200</f>
        <v>0</v>
      </c>
      <c r="C200">
        <f>RAW_DATA!C200</f>
        <v>0</v>
      </c>
      <c r="D200">
        <f>RAW_DATA!D200</f>
        <v>0</v>
      </c>
      <c r="E200">
        <f>RAW_DATA!E200</f>
        <v>0</v>
      </c>
      <c r="F200">
        <f>RAW_DATA!F200</f>
        <v>0</v>
      </c>
      <c r="G200">
        <f>RAW_DATA!G200</f>
        <v>0</v>
      </c>
      <c r="H200">
        <f>RAW_DATA!H200</f>
        <v>0</v>
      </c>
      <c r="I200">
        <f>RAW_DATA!I200</f>
        <v>0</v>
      </c>
      <c r="J200">
        <f>RAW_DATA!J200</f>
        <v>0</v>
      </c>
      <c r="K200">
        <f>RAW_DATA!K200</f>
        <v>0</v>
      </c>
      <c r="L200">
        <f>RAW_DATA!L200</f>
        <v>0</v>
      </c>
      <c r="M200">
        <f>H200*I200</f>
        <v>0</v>
      </c>
      <c r="N200">
        <f>ISOWEEKNUM(B200)</f>
        <v>0</v>
      </c>
      <c r="O200">
        <f>TEXT(B200,"mmm")</f>
        <v>0</v>
      </c>
      <c r="P200">
        <f>"Q"&amp;ROUNDUP(MONTH(B200)/3,0)</f>
        <v>0</v>
      </c>
      <c r="Q200">
        <f>IF(J200&gt;=4,"High",IF(J200&gt;=3,"Medium","Low"))</f>
        <v>0</v>
      </c>
      <c r="R200">
        <f>IF(K200&lt;=5,"On Time","Delayed")</f>
        <v>0</v>
      </c>
    </row>
    <row r="201" spans="1:18">
      <c r="A201">
        <f>RAW_DATA!A201</f>
        <v>0</v>
      </c>
      <c r="B201">
        <f>RAW_DATA!B201</f>
        <v>0</v>
      </c>
      <c r="C201">
        <f>RAW_DATA!C201</f>
        <v>0</v>
      </c>
      <c r="D201">
        <f>RAW_DATA!D201</f>
        <v>0</v>
      </c>
      <c r="E201">
        <f>RAW_DATA!E201</f>
        <v>0</v>
      </c>
      <c r="F201">
        <f>RAW_DATA!F201</f>
        <v>0</v>
      </c>
      <c r="G201">
        <f>RAW_DATA!G201</f>
        <v>0</v>
      </c>
      <c r="H201">
        <f>RAW_DATA!H201</f>
        <v>0</v>
      </c>
      <c r="I201">
        <f>RAW_DATA!I201</f>
        <v>0</v>
      </c>
      <c r="J201">
        <f>RAW_DATA!J201</f>
        <v>0</v>
      </c>
      <c r="K201">
        <f>RAW_DATA!K201</f>
        <v>0</v>
      </c>
      <c r="L201">
        <f>RAW_DATA!L201</f>
        <v>0</v>
      </c>
      <c r="M201">
        <f>H201*I201</f>
        <v>0</v>
      </c>
      <c r="N201">
        <f>ISOWEEKNUM(B201)</f>
        <v>0</v>
      </c>
      <c r="O201">
        <f>TEXT(B201,"mmm")</f>
        <v>0</v>
      </c>
      <c r="P201">
        <f>"Q"&amp;ROUNDUP(MONTH(B201)/3,0)</f>
        <v>0</v>
      </c>
      <c r="Q201">
        <f>IF(J201&gt;=4,"High",IF(J201&gt;=3,"Medium","Low"))</f>
        <v>0</v>
      </c>
      <c r="R201">
        <f>IF(K201&lt;=5,"On Time","Delayed")</f>
        <v>0</v>
      </c>
    </row>
    <row r="202" spans="1:18">
      <c r="A202">
        <f>RAW_DATA!A202</f>
        <v>0</v>
      </c>
      <c r="B202">
        <f>RAW_DATA!B202</f>
        <v>0</v>
      </c>
      <c r="C202">
        <f>RAW_DATA!C202</f>
        <v>0</v>
      </c>
      <c r="D202">
        <f>RAW_DATA!D202</f>
        <v>0</v>
      </c>
      <c r="E202">
        <f>RAW_DATA!E202</f>
        <v>0</v>
      </c>
      <c r="F202">
        <f>RAW_DATA!F202</f>
        <v>0</v>
      </c>
      <c r="G202">
        <f>RAW_DATA!G202</f>
        <v>0</v>
      </c>
      <c r="H202">
        <f>RAW_DATA!H202</f>
        <v>0</v>
      </c>
      <c r="I202">
        <f>RAW_DATA!I202</f>
        <v>0</v>
      </c>
      <c r="J202">
        <f>RAW_DATA!J202</f>
        <v>0</v>
      </c>
      <c r="K202">
        <f>RAW_DATA!K202</f>
        <v>0</v>
      </c>
      <c r="L202">
        <f>RAW_DATA!L202</f>
        <v>0</v>
      </c>
      <c r="M202">
        <f>H202*I202</f>
        <v>0</v>
      </c>
      <c r="N202">
        <f>ISOWEEKNUM(B202)</f>
        <v>0</v>
      </c>
      <c r="O202">
        <f>TEXT(B202,"mmm")</f>
        <v>0</v>
      </c>
      <c r="P202">
        <f>"Q"&amp;ROUNDUP(MONTH(B202)/3,0)</f>
        <v>0</v>
      </c>
      <c r="Q202">
        <f>IF(J202&gt;=4,"High",IF(J202&gt;=3,"Medium","Low"))</f>
        <v>0</v>
      </c>
      <c r="R202">
        <f>IF(K202&lt;=5,"On Time","Delayed")</f>
        <v>0</v>
      </c>
    </row>
    <row r="203" spans="1:18">
      <c r="A203">
        <f>RAW_DATA!A203</f>
        <v>0</v>
      </c>
      <c r="B203">
        <f>RAW_DATA!B203</f>
        <v>0</v>
      </c>
      <c r="C203">
        <f>RAW_DATA!C203</f>
        <v>0</v>
      </c>
      <c r="D203">
        <f>RAW_DATA!D203</f>
        <v>0</v>
      </c>
      <c r="E203">
        <f>RAW_DATA!E203</f>
        <v>0</v>
      </c>
      <c r="F203">
        <f>RAW_DATA!F203</f>
        <v>0</v>
      </c>
      <c r="G203">
        <f>RAW_DATA!G203</f>
        <v>0</v>
      </c>
      <c r="H203">
        <f>RAW_DATA!H203</f>
        <v>0</v>
      </c>
      <c r="I203">
        <f>RAW_DATA!I203</f>
        <v>0</v>
      </c>
      <c r="J203">
        <f>RAW_DATA!J203</f>
        <v>0</v>
      </c>
      <c r="K203">
        <f>RAW_DATA!K203</f>
        <v>0</v>
      </c>
      <c r="L203">
        <f>RAW_DATA!L203</f>
        <v>0</v>
      </c>
      <c r="M203">
        <f>H203*I203</f>
        <v>0</v>
      </c>
      <c r="N203">
        <f>ISOWEEKNUM(B203)</f>
        <v>0</v>
      </c>
      <c r="O203">
        <f>TEXT(B203,"mmm")</f>
        <v>0</v>
      </c>
      <c r="P203">
        <f>"Q"&amp;ROUNDUP(MONTH(B203)/3,0)</f>
        <v>0</v>
      </c>
      <c r="Q203">
        <f>IF(J203&gt;=4,"High",IF(J203&gt;=3,"Medium","Low"))</f>
        <v>0</v>
      </c>
      <c r="R203">
        <f>IF(K203&lt;=5,"On Time","Delayed")</f>
        <v>0</v>
      </c>
    </row>
    <row r="204" spans="1:18">
      <c r="A204">
        <f>RAW_DATA!A204</f>
        <v>0</v>
      </c>
      <c r="B204">
        <f>RAW_DATA!B204</f>
        <v>0</v>
      </c>
      <c r="C204">
        <f>RAW_DATA!C204</f>
        <v>0</v>
      </c>
      <c r="D204">
        <f>RAW_DATA!D204</f>
        <v>0</v>
      </c>
      <c r="E204">
        <f>RAW_DATA!E204</f>
        <v>0</v>
      </c>
      <c r="F204">
        <f>RAW_DATA!F204</f>
        <v>0</v>
      </c>
      <c r="G204">
        <f>RAW_DATA!G204</f>
        <v>0</v>
      </c>
      <c r="H204">
        <f>RAW_DATA!H204</f>
        <v>0</v>
      </c>
      <c r="I204">
        <f>RAW_DATA!I204</f>
        <v>0</v>
      </c>
      <c r="J204">
        <f>RAW_DATA!J204</f>
        <v>0</v>
      </c>
      <c r="K204">
        <f>RAW_DATA!K204</f>
        <v>0</v>
      </c>
      <c r="L204">
        <f>RAW_DATA!L204</f>
        <v>0</v>
      </c>
      <c r="M204">
        <f>H204*I204</f>
        <v>0</v>
      </c>
      <c r="N204">
        <f>ISOWEEKNUM(B204)</f>
        <v>0</v>
      </c>
      <c r="O204">
        <f>TEXT(B204,"mmm")</f>
        <v>0</v>
      </c>
      <c r="P204">
        <f>"Q"&amp;ROUNDUP(MONTH(B204)/3,0)</f>
        <v>0</v>
      </c>
      <c r="Q204">
        <f>IF(J204&gt;=4,"High",IF(J204&gt;=3,"Medium","Low"))</f>
        <v>0</v>
      </c>
      <c r="R204">
        <f>IF(K204&lt;=5,"On Time","Delayed")</f>
        <v>0</v>
      </c>
    </row>
    <row r="205" spans="1:18">
      <c r="A205">
        <f>RAW_DATA!A205</f>
        <v>0</v>
      </c>
      <c r="B205">
        <f>RAW_DATA!B205</f>
        <v>0</v>
      </c>
      <c r="C205">
        <f>RAW_DATA!C205</f>
        <v>0</v>
      </c>
      <c r="D205">
        <f>RAW_DATA!D205</f>
        <v>0</v>
      </c>
      <c r="E205">
        <f>RAW_DATA!E205</f>
        <v>0</v>
      </c>
      <c r="F205">
        <f>RAW_DATA!F205</f>
        <v>0</v>
      </c>
      <c r="G205">
        <f>RAW_DATA!G205</f>
        <v>0</v>
      </c>
      <c r="H205">
        <f>RAW_DATA!H205</f>
        <v>0</v>
      </c>
      <c r="I205">
        <f>RAW_DATA!I205</f>
        <v>0</v>
      </c>
      <c r="J205">
        <f>RAW_DATA!J205</f>
        <v>0</v>
      </c>
      <c r="K205">
        <f>RAW_DATA!K205</f>
        <v>0</v>
      </c>
      <c r="L205">
        <f>RAW_DATA!L205</f>
        <v>0</v>
      </c>
      <c r="M205">
        <f>H205*I205</f>
        <v>0</v>
      </c>
      <c r="N205">
        <f>ISOWEEKNUM(B205)</f>
        <v>0</v>
      </c>
      <c r="O205">
        <f>TEXT(B205,"mmm")</f>
        <v>0</v>
      </c>
      <c r="P205">
        <f>"Q"&amp;ROUNDUP(MONTH(B205)/3,0)</f>
        <v>0</v>
      </c>
      <c r="Q205">
        <f>IF(J205&gt;=4,"High",IF(J205&gt;=3,"Medium","Low"))</f>
        <v>0</v>
      </c>
      <c r="R205">
        <f>IF(K205&lt;=5,"On Time","Delayed")</f>
        <v>0</v>
      </c>
    </row>
    <row r="206" spans="1:18">
      <c r="A206">
        <f>RAW_DATA!A206</f>
        <v>0</v>
      </c>
      <c r="B206">
        <f>RAW_DATA!B206</f>
        <v>0</v>
      </c>
      <c r="C206">
        <f>RAW_DATA!C206</f>
        <v>0</v>
      </c>
      <c r="D206">
        <f>RAW_DATA!D206</f>
        <v>0</v>
      </c>
      <c r="E206">
        <f>RAW_DATA!E206</f>
        <v>0</v>
      </c>
      <c r="F206">
        <f>RAW_DATA!F206</f>
        <v>0</v>
      </c>
      <c r="G206">
        <f>RAW_DATA!G206</f>
        <v>0</v>
      </c>
      <c r="H206">
        <f>RAW_DATA!H206</f>
        <v>0</v>
      </c>
      <c r="I206">
        <f>RAW_DATA!I206</f>
        <v>0</v>
      </c>
      <c r="J206">
        <f>RAW_DATA!J206</f>
        <v>0</v>
      </c>
      <c r="K206">
        <f>RAW_DATA!K206</f>
        <v>0</v>
      </c>
      <c r="L206">
        <f>RAW_DATA!L206</f>
        <v>0</v>
      </c>
      <c r="M206">
        <f>H206*I206</f>
        <v>0</v>
      </c>
      <c r="N206">
        <f>ISOWEEKNUM(B206)</f>
        <v>0</v>
      </c>
      <c r="O206">
        <f>TEXT(B206,"mmm")</f>
        <v>0</v>
      </c>
      <c r="P206">
        <f>"Q"&amp;ROUNDUP(MONTH(B206)/3,0)</f>
        <v>0</v>
      </c>
      <c r="Q206">
        <f>IF(J206&gt;=4,"High",IF(J206&gt;=3,"Medium","Low"))</f>
        <v>0</v>
      </c>
      <c r="R206">
        <f>IF(K206&lt;=5,"On Time","Delayed")</f>
        <v>0</v>
      </c>
    </row>
    <row r="207" spans="1:18">
      <c r="A207">
        <f>RAW_DATA!A207</f>
        <v>0</v>
      </c>
      <c r="B207">
        <f>RAW_DATA!B207</f>
        <v>0</v>
      </c>
      <c r="C207">
        <f>RAW_DATA!C207</f>
        <v>0</v>
      </c>
      <c r="D207">
        <f>RAW_DATA!D207</f>
        <v>0</v>
      </c>
      <c r="E207">
        <f>RAW_DATA!E207</f>
        <v>0</v>
      </c>
      <c r="F207">
        <f>RAW_DATA!F207</f>
        <v>0</v>
      </c>
      <c r="G207">
        <f>RAW_DATA!G207</f>
        <v>0</v>
      </c>
      <c r="H207">
        <f>RAW_DATA!H207</f>
        <v>0</v>
      </c>
      <c r="I207">
        <f>RAW_DATA!I207</f>
        <v>0</v>
      </c>
      <c r="J207">
        <f>RAW_DATA!J207</f>
        <v>0</v>
      </c>
      <c r="K207">
        <f>RAW_DATA!K207</f>
        <v>0</v>
      </c>
      <c r="L207">
        <f>RAW_DATA!L207</f>
        <v>0</v>
      </c>
      <c r="M207">
        <f>H207*I207</f>
        <v>0</v>
      </c>
      <c r="N207">
        <f>ISOWEEKNUM(B207)</f>
        <v>0</v>
      </c>
      <c r="O207">
        <f>TEXT(B207,"mmm")</f>
        <v>0</v>
      </c>
      <c r="P207">
        <f>"Q"&amp;ROUNDUP(MONTH(B207)/3,0)</f>
        <v>0</v>
      </c>
      <c r="Q207">
        <f>IF(J207&gt;=4,"High",IF(J207&gt;=3,"Medium","Low"))</f>
        <v>0</v>
      </c>
      <c r="R207">
        <f>IF(K207&lt;=5,"On Time","Delayed")</f>
        <v>0</v>
      </c>
    </row>
    <row r="208" spans="1:18">
      <c r="A208">
        <f>RAW_DATA!A208</f>
        <v>0</v>
      </c>
      <c r="B208">
        <f>RAW_DATA!B208</f>
        <v>0</v>
      </c>
      <c r="C208">
        <f>RAW_DATA!C208</f>
        <v>0</v>
      </c>
      <c r="D208">
        <f>RAW_DATA!D208</f>
        <v>0</v>
      </c>
      <c r="E208">
        <f>RAW_DATA!E208</f>
        <v>0</v>
      </c>
      <c r="F208">
        <f>RAW_DATA!F208</f>
        <v>0</v>
      </c>
      <c r="G208">
        <f>RAW_DATA!G208</f>
        <v>0</v>
      </c>
      <c r="H208">
        <f>RAW_DATA!H208</f>
        <v>0</v>
      </c>
      <c r="I208">
        <f>RAW_DATA!I208</f>
        <v>0</v>
      </c>
      <c r="J208">
        <f>RAW_DATA!J208</f>
        <v>0</v>
      </c>
      <c r="K208">
        <f>RAW_DATA!K208</f>
        <v>0</v>
      </c>
      <c r="L208">
        <f>RAW_DATA!L208</f>
        <v>0</v>
      </c>
      <c r="M208">
        <f>H208*I208</f>
        <v>0</v>
      </c>
      <c r="N208">
        <f>ISOWEEKNUM(B208)</f>
        <v>0</v>
      </c>
      <c r="O208">
        <f>TEXT(B208,"mmm")</f>
        <v>0</v>
      </c>
      <c r="P208">
        <f>"Q"&amp;ROUNDUP(MONTH(B208)/3,0)</f>
        <v>0</v>
      </c>
      <c r="Q208">
        <f>IF(J208&gt;=4,"High",IF(J208&gt;=3,"Medium","Low"))</f>
        <v>0</v>
      </c>
      <c r="R208">
        <f>IF(K208&lt;=5,"On Time","Delayed")</f>
        <v>0</v>
      </c>
    </row>
    <row r="209" spans="1:18">
      <c r="A209">
        <f>RAW_DATA!A209</f>
        <v>0</v>
      </c>
      <c r="B209">
        <f>RAW_DATA!B209</f>
        <v>0</v>
      </c>
      <c r="C209">
        <f>RAW_DATA!C209</f>
        <v>0</v>
      </c>
      <c r="D209">
        <f>RAW_DATA!D209</f>
        <v>0</v>
      </c>
      <c r="E209">
        <f>RAW_DATA!E209</f>
        <v>0</v>
      </c>
      <c r="F209">
        <f>RAW_DATA!F209</f>
        <v>0</v>
      </c>
      <c r="G209">
        <f>RAW_DATA!G209</f>
        <v>0</v>
      </c>
      <c r="H209">
        <f>RAW_DATA!H209</f>
        <v>0</v>
      </c>
      <c r="I209">
        <f>RAW_DATA!I209</f>
        <v>0</v>
      </c>
      <c r="J209">
        <f>RAW_DATA!J209</f>
        <v>0</v>
      </c>
      <c r="K209">
        <f>RAW_DATA!K209</f>
        <v>0</v>
      </c>
      <c r="L209">
        <f>RAW_DATA!L209</f>
        <v>0</v>
      </c>
      <c r="M209">
        <f>H209*I209</f>
        <v>0</v>
      </c>
      <c r="N209">
        <f>ISOWEEKNUM(B209)</f>
        <v>0</v>
      </c>
      <c r="O209">
        <f>TEXT(B209,"mmm")</f>
        <v>0</v>
      </c>
      <c r="P209">
        <f>"Q"&amp;ROUNDUP(MONTH(B209)/3,0)</f>
        <v>0</v>
      </c>
      <c r="Q209">
        <f>IF(J209&gt;=4,"High",IF(J209&gt;=3,"Medium","Low"))</f>
        <v>0</v>
      </c>
      <c r="R209">
        <f>IF(K209&lt;=5,"On Time","Delayed")</f>
        <v>0</v>
      </c>
    </row>
    <row r="210" spans="1:18">
      <c r="A210">
        <f>RAW_DATA!A210</f>
        <v>0</v>
      </c>
      <c r="B210">
        <f>RAW_DATA!B210</f>
        <v>0</v>
      </c>
      <c r="C210">
        <f>RAW_DATA!C210</f>
        <v>0</v>
      </c>
      <c r="D210">
        <f>RAW_DATA!D210</f>
        <v>0</v>
      </c>
      <c r="E210">
        <f>RAW_DATA!E210</f>
        <v>0</v>
      </c>
      <c r="F210">
        <f>RAW_DATA!F210</f>
        <v>0</v>
      </c>
      <c r="G210">
        <f>RAW_DATA!G210</f>
        <v>0</v>
      </c>
      <c r="H210">
        <f>RAW_DATA!H210</f>
        <v>0</v>
      </c>
      <c r="I210">
        <f>RAW_DATA!I210</f>
        <v>0</v>
      </c>
      <c r="J210">
        <f>RAW_DATA!J210</f>
        <v>0</v>
      </c>
      <c r="K210">
        <f>RAW_DATA!K210</f>
        <v>0</v>
      </c>
      <c r="L210">
        <f>RAW_DATA!L210</f>
        <v>0</v>
      </c>
      <c r="M210">
        <f>H210*I210</f>
        <v>0</v>
      </c>
      <c r="N210">
        <f>ISOWEEKNUM(B210)</f>
        <v>0</v>
      </c>
      <c r="O210">
        <f>TEXT(B210,"mmm")</f>
        <v>0</v>
      </c>
      <c r="P210">
        <f>"Q"&amp;ROUNDUP(MONTH(B210)/3,0)</f>
        <v>0</v>
      </c>
      <c r="Q210">
        <f>IF(J210&gt;=4,"High",IF(J210&gt;=3,"Medium","Low"))</f>
        <v>0</v>
      </c>
      <c r="R210">
        <f>IF(K210&lt;=5,"On Time","Delayed")</f>
        <v>0</v>
      </c>
    </row>
    <row r="211" spans="1:18">
      <c r="A211">
        <f>RAW_DATA!A211</f>
        <v>0</v>
      </c>
      <c r="B211">
        <f>RAW_DATA!B211</f>
        <v>0</v>
      </c>
      <c r="C211">
        <f>RAW_DATA!C211</f>
        <v>0</v>
      </c>
      <c r="D211">
        <f>RAW_DATA!D211</f>
        <v>0</v>
      </c>
      <c r="E211">
        <f>RAW_DATA!E211</f>
        <v>0</v>
      </c>
      <c r="F211">
        <f>RAW_DATA!F211</f>
        <v>0</v>
      </c>
      <c r="G211">
        <f>RAW_DATA!G211</f>
        <v>0</v>
      </c>
      <c r="H211">
        <f>RAW_DATA!H211</f>
        <v>0</v>
      </c>
      <c r="I211">
        <f>RAW_DATA!I211</f>
        <v>0</v>
      </c>
      <c r="J211">
        <f>RAW_DATA!J211</f>
        <v>0</v>
      </c>
      <c r="K211">
        <f>RAW_DATA!K211</f>
        <v>0</v>
      </c>
      <c r="L211">
        <f>RAW_DATA!L211</f>
        <v>0</v>
      </c>
      <c r="M211">
        <f>H211*I211</f>
        <v>0</v>
      </c>
      <c r="N211">
        <f>ISOWEEKNUM(B211)</f>
        <v>0</v>
      </c>
      <c r="O211">
        <f>TEXT(B211,"mmm")</f>
        <v>0</v>
      </c>
      <c r="P211">
        <f>"Q"&amp;ROUNDUP(MONTH(B211)/3,0)</f>
        <v>0</v>
      </c>
      <c r="Q211">
        <f>IF(J211&gt;=4,"High",IF(J211&gt;=3,"Medium","Low"))</f>
        <v>0</v>
      </c>
      <c r="R211">
        <f>IF(K211&lt;=5,"On Time","Delayed")</f>
        <v>0</v>
      </c>
    </row>
    <row r="212" spans="1:18">
      <c r="A212">
        <f>RAW_DATA!A212</f>
        <v>0</v>
      </c>
      <c r="B212">
        <f>RAW_DATA!B212</f>
        <v>0</v>
      </c>
      <c r="C212">
        <f>RAW_DATA!C212</f>
        <v>0</v>
      </c>
      <c r="D212">
        <f>RAW_DATA!D212</f>
        <v>0</v>
      </c>
      <c r="E212">
        <f>RAW_DATA!E212</f>
        <v>0</v>
      </c>
      <c r="F212">
        <f>RAW_DATA!F212</f>
        <v>0</v>
      </c>
      <c r="G212">
        <f>RAW_DATA!G212</f>
        <v>0</v>
      </c>
      <c r="H212">
        <f>RAW_DATA!H212</f>
        <v>0</v>
      </c>
      <c r="I212">
        <f>RAW_DATA!I212</f>
        <v>0</v>
      </c>
      <c r="J212">
        <f>RAW_DATA!J212</f>
        <v>0</v>
      </c>
      <c r="K212">
        <f>RAW_DATA!K212</f>
        <v>0</v>
      </c>
      <c r="L212">
        <f>RAW_DATA!L212</f>
        <v>0</v>
      </c>
      <c r="M212">
        <f>H212*I212</f>
        <v>0</v>
      </c>
      <c r="N212">
        <f>ISOWEEKNUM(B212)</f>
        <v>0</v>
      </c>
      <c r="O212">
        <f>TEXT(B212,"mmm")</f>
        <v>0</v>
      </c>
      <c r="P212">
        <f>"Q"&amp;ROUNDUP(MONTH(B212)/3,0)</f>
        <v>0</v>
      </c>
      <c r="Q212">
        <f>IF(J212&gt;=4,"High",IF(J212&gt;=3,"Medium","Low"))</f>
        <v>0</v>
      </c>
      <c r="R212">
        <f>IF(K212&lt;=5,"On Time","Delayed")</f>
        <v>0</v>
      </c>
    </row>
    <row r="213" spans="1:18">
      <c r="A213">
        <f>RAW_DATA!A213</f>
        <v>0</v>
      </c>
      <c r="B213">
        <f>RAW_DATA!B213</f>
        <v>0</v>
      </c>
      <c r="C213">
        <f>RAW_DATA!C213</f>
        <v>0</v>
      </c>
      <c r="D213">
        <f>RAW_DATA!D213</f>
        <v>0</v>
      </c>
      <c r="E213">
        <f>RAW_DATA!E213</f>
        <v>0</v>
      </c>
      <c r="F213">
        <f>RAW_DATA!F213</f>
        <v>0</v>
      </c>
      <c r="G213">
        <f>RAW_DATA!G213</f>
        <v>0</v>
      </c>
      <c r="H213">
        <f>RAW_DATA!H213</f>
        <v>0</v>
      </c>
      <c r="I213">
        <f>RAW_DATA!I213</f>
        <v>0</v>
      </c>
      <c r="J213">
        <f>RAW_DATA!J213</f>
        <v>0</v>
      </c>
      <c r="K213">
        <f>RAW_DATA!K213</f>
        <v>0</v>
      </c>
      <c r="L213">
        <f>RAW_DATA!L213</f>
        <v>0</v>
      </c>
      <c r="M213">
        <f>H213*I213</f>
        <v>0</v>
      </c>
      <c r="N213">
        <f>ISOWEEKNUM(B213)</f>
        <v>0</v>
      </c>
      <c r="O213">
        <f>TEXT(B213,"mmm")</f>
        <v>0</v>
      </c>
      <c r="P213">
        <f>"Q"&amp;ROUNDUP(MONTH(B213)/3,0)</f>
        <v>0</v>
      </c>
      <c r="Q213">
        <f>IF(J213&gt;=4,"High",IF(J213&gt;=3,"Medium","Low"))</f>
        <v>0</v>
      </c>
      <c r="R213">
        <f>IF(K213&lt;=5,"On Time","Delayed")</f>
        <v>0</v>
      </c>
    </row>
    <row r="214" spans="1:18">
      <c r="A214">
        <f>RAW_DATA!A214</f>
        <v>0</v>
      </c>
      <c r="B214">
        <f>RAW_DATA!B214</f>
        <v>0</v>
      </c>
      <c r="C214">
        <f>RAW_DATA!C214</f>
        <v>0</v>
      </c>
      <c r="D214">
        <f>RAW_DATA!D214</f>
        <v>0</v>
      </c>
      <c r="E214">
        <f>RAW_DATA!E214</f>
        <v>0</v>
      </c>
      <c r="F214">
        <f>RAW_DATA!F214</f>
        <v>0</v>
      </c>
      <c r="G214">
        <f>RAW_DATA!G214</f>
        <v>0</v>
      </c>
      <c r="H214">
        <f>RAW_DATA!H214</f>
        <v>0</v>
      </c>
      <c r="I214">
        <f>RAW_DATA!I214</f>
        <v>0</v>
      </c>
      <c r="J214">
        <f>RAW_DATA!J214</f>
        <v>0</v>
      </c>
      <c r="K214">
        <f>RAW_DATA!K214</f>
        <v>0</v>
      </c>
      <c r="L214">
        <f>RAW_DATA!L214</f>
        <v>0</v>
      </c>
      <c r="M214">
        <f>H214*I214</f>
        <v>0</v>
      </c>
      <c r="N214">
        <f>ISOWEEKNUM(B214)</f>
        <v>0</v>
      </c>
      <c r="O214">
        <f>TEXT(B214,"mmm")</f>
        <v>0</v>
      </c>
      <c r="P214">
        <f>"Q"&amp;ROUNDUP(MONTH(B214)/3,0)</f>
        <v>0</v>
      </c>
      <c r="Q214">
        <f>IF(J214&gt;=4,"High",IF(J214&gt;=3,"Medium","Low"))</f>
        <v>0</v>
      </c>
      <c r="R214">
        <f>IF(K214&lt;=5,"On Time","Delayed")</f>
        <v>0</v>
      </c>
    </row>
    <row r="215" spans="1:18">
      <c r="A215">
        <f>RAW_DATA!A215</f>
        <v>0</v>
      </c>
      <c r="B215">
        <f>RAW_DATA!B215</f>
        <v>0</v>
      </c>
      <c r="C215">
        <f>RAW_DATA!C215</f>
        <v>0</v>
      </c>
      <c r="D215">
        <f>RAW_DATA!D215</f>
        <v>0</v>
      </c>
      <c r="E215">
        <f>RAW_DATA!E215</f>
        <v>0</v>
      </c>
      <c r="F215">
        <f>RAW_DATA!F215</f>
        <v>0</v>
      </c>
      <c r="G215">
        <f>RAW_DATA!G215</f>
        <v>0</v>
      </c>
      <c r="H215">
        <f>RAW_DATA!H215</f>
        <v>0</v>
      </c>
      <c r="I215">
        <f>RAW_DATA!I215</f>
        <v>0</v>
      </c>
      <c r="J215">
        <f>RAW_DATA!J215</f>
        <v>0</v>
      </c>
      <c r="K215">
        <f>RAW_DATA!K215</f>
        <v>0</v>
      </c>
      <c r="L215">
        <f>RAW_DATA!L215</f>
        <v>0</v>
      </c>
      <c r="M215">
        <f>H215*I215</f>
        <v>0</v>
      </c>
      <c r="N215">
        <f>ISOWEEKNUM(B215)</f>
        <v>0</v>
      </c>
      <c r="O215">
        <f>TEXT(B215,"mmm")</f>
        <v>0</v>
      </c>
      <c r="P215">
        <f>"Q"&amp;ROUNDUP(MONTH(B215)/3,0)</f>
        <v>0</v>
      </c>
      <c r="Q215">
        <f>IF(J215&gt;=4,"High",IF(J215&gt;=3,"Medium","Low"))</f>
        <v>0</v>
      </c>
      <c r="R215">
        <f>IF(K215&lt;=5,"On Time","Delayed")</f>
        <v>0</v>
      </c>
    </row>
    <row r="216" spans="1:18">
      <c r="A216">
        <f>RAW_DATA!A216</f>
        <v>0</v>
      </c>
      <c r="B216">
        <f>RAW_DATA!B216</f>
        <v>0</v>
      </c>
      <c r="C216">
        <f>RAW_DATA!C216</f>
        <v>0</v>
      </c>
      <c r="D216">
        <f>RAW_DATA!D216</f>
        <v>0</v>
      </c>
      <c r="E216">
        <f>RAW_DATA!E216</f>
        <v>0</v>
      </c>
      <c r="F216">
        <f>RAW_DATA!F216</f>
        <v>0</v>
      </c>
      <c r="G216">
        <f>RAW_DATA!G216</f>
        <v>0</v>
      </c>
      <c r="H216">
        <f>RAW_DATA!H216</f>
        <v>0</v>
      </c>
      <c r="I216">
        <f>RAW_DATA!I216</f>
        <v>0</v>
      </c>
      <c r="J216">
        <f>RAW_DATA!J216</f>
        <v>0</v>
      </c>
      <c r="K216">
        <f>RAW_DATA!K216</f>
        <v>0</v>
      </c>
      <c r="L216">
        <f>RAW_DATA!L216</f>
        <v>0</v>
      </c>
      <c r="M216">
        <f>H216*I216</f>
        <v>0</v>
      </c>
      <c r="N216">
        <f>ISOWEEKNUM(B216)</f>
        <v>0</v>
      </c>
      <c r="O216">
        <f>TEXT(B216,"mmm")</f>
        <v>0</v>
      </c>
      <c r="P216">
        <f>"Q"&amp;ROUNDUP(MONTH(B216)/3,0)</f>
        <v>0</v>
      </c>
      <c r="Q216">
        <f>IF(J216&gt;=4,"High",IF(J216&gt;=3,"Medium","Low"))</f>
        <v>0</v>
      </c>
      <c r="R216">
        <f>IF(K216&lt;=5,"On Time","Delayed")</f>
        <v>0</v>
      </c>
    </row>
    <row r="217" spans="1:18">
      <c r="A217">
        <f>RAW_DATA!A217</f>
        <v>0</v>
      </c>
      <c r="B217">
        <f>RAW_DATA!B217</f>
        <v>0</v>
      </c>
      <c r="C217">
        <f>RAW_DATA!C217</f>
        <v>0</v>
      </c>
      <c r="D217">
        <f>RAW_DATA!D217</f>
        <v>0</v>
      </c>
      <c r="E217">
        <f>RAW_DATA!E217</f>
        <v>0</v>
      </c>
      <c r="F217">
        <f>RAW_DATA!F217</f>
        <v>0</v>
      </c>
      <c r="G217">
        <f>RAW_DATA!G217</f>
        <v>0</v>
      </c>
      <c r="H217">
        <f>RAW_DATA!H217</f>
        <v>0</v>
      </c>
      <c r="I217">
        <f>RAW_DATA!I217</f>
        <v>0</v>
      </c>
      <c r="J217">
        <f>RAW_DATA!J217</f>
        <v>0</v>
      </c>
      <c r="K217">
        <f>RAW_DATA!K217</f>
        <v>0</v>
      </c>
      <c r="L217">
        <f>RAW_DATA!L217</f>
        <v>0</v>
      </c>
      <c r="M217">
        <f>H217*I217</f>
        <v>0</v>
      </c>
      <c r="N217">
        <f>ISOWEEKNUM(B217)</f>
        <v>0</v>
      </c>
      <c r="O217">
        <f>TEXT(B217,"mmm")</f>
        <v>0</v>
      </c>
      <c r="P217">
        <f>"Q"&amp;ROUNDUP(MONTH(B217)/3,0)</f>
        <v>0</v>
      </c>
      <c r="Q217">
        <f>IF(J217&gt;=4,"High",IF(J217&gt;=3,"Medium","Low"))</f>
        <v>0</v>
      </c>
      <c r="R217">
        <f>IF(K217&lt;=5,"On Time","Delayed")</f>
        <v>0</v>
      </c>
    </row>
    <row r="218" spans="1:18">
      <c r="A218">
        <f>RAW_DATA!A218</f>
        <v>0</v>
      </c>
      <c r="B218">
        <f>RAW_DATA!B218</f>
        <v>0</v>
      </c>
      <c r="C218">
        <f>RAW_DATA!C218</f>
        <v>0</v>
      </c>
      <c r="D218">
        <f>RAW_DATA!D218</f>
        <v>0</v>
      </c>
      <c r="E218">
        <f>RAW_DATA!E218</f>
        <v>0</v>
      </c>
      <c r="F218">
        <f>RAW_DATA!F218</f>
        <v>0</v>
      </c>
      <c r="G218">
        <f>RAW_DATA!G218</f>
        <v>0</v>
      </c>
      <c r="H218">
        <f>RAW_DATA!H218</f>
        <v>0</v>
      </c>
      <c r="I218">
        <f>RAW_DATA!I218</f>
        <v>0</v>
      </c>
      <c r="J218">
        <f>RAW_DATA!J218</f>
        <v>0</v>
      </c>
      <c r="K218">
        <f>RAW_DATA!K218</f>
        <v>0</v>
      </c>
      <c r="L218">
        <f>RAW_DATA!L218</f>
        <v>0</v>
      </c>
      <c r="M218">
        <f>H218*I218</f>
        <v>0</v>
      </c>
      <c r="N218">
        <f>ISOWEEKNUM(B218)</f>
        <v>0</v>
      </c>
      <c r="O218">
        <f>TEXT(B218,"mmm")</f>
        <v>0</v>
      </c>
      <c r="P218">
        <f>"Q"&amp;ROUNDUP(MONTH(B218)/3,0)</f>
        <v>0</v>
      </c>
      <c r="Q218">
        <f>IF(J218&gt;=4,"High",IF(J218&gt;=3,"Medium","Low"))</f>
        <v>0</v>
      </c>
      <c r="R218">
        <f>IF(K218&lt;=5,"On Time","Delayed")</f>
        <v>0</v>
      </c>
    </row>
    <row r="219" spans="1:18">
      <c r="A219">
        <f>RAW_DATA!A219</f>
        <v>0</v>
      </c>
      <c r="B219">
        <f>RAW_DATA!B219</f>
        <v>0</v>
      </c>
      <c r="C219">
        <f>RAW_DATA!C219</f>
        <v>0</v>
      </c>
      <c r="D219">
        <f>RAW_DATA!D219</f>
        <v>0</v>
      </c>
      <c r="E219">
        <f>RAW_DATA!E219</f>
        <v>0</v>
      </c>
      <c r="F219">
        <f>RAW_DATA!F219</f>
        <v>0</v>
      </c>
      <c r="G219">
        <f>RAW_DATA!G219</f>
        <v>0</v>
      </c>
      <c r="H219">
        <f>RAW_DATA!H219</f>
        <v>0</v>
      </c>
      <c r="I219">
        <f>RAW_DATA!I219</f>
        <v>0</v>
      </c>
      <c r="J219">
        <f>RAW_DATA!J219</f>
        <v>0</v>
      </c>
      <c r="K219">
        <f>RAW_DATA!K219</f>
        <v>0</v>
      </c>
      <c r="L219">
        <f>RAW_DATA!L219</f>
        <v>0</v>
      </c>
      <c r="M219">
        <f>H219*I219</f>
        <v>0</v>
      </c>
      <c r="N219">
        <f>ISOWEEKNUM(B219)</f>
        <v>0</v>
      </c>
      <c r="O219">
        <f>TEXT(B219,"mmm")</f>
        <v>0</v>
      </c>
      <c r="P219">
        <f>"Q"&amp;ROUNDUP(MONTH(B219)/3,0)</f>
        <v>0</v>
      </c>
      <c r="Q219">
        <f>IF(J219&gt;=4,"High",IF(J219&gt;=3,"Medium","Low"))</f>
        <v>0</v>
      </c>
      <c r="R219">
        <f>IF(K219&lt;=5,"On Time","Delayed")</f>
        <v>0</v>
      </c>
    </row>
    <row r="220" spans="1:18">
      <c r="A220">
        <f>RAW_DATA!A220</f>
        <v>0</v>
      </c>
      <c r="B220">
        <f>RAW_DATA!B220</f>
        <v>0</v>
      </c>
      <c r="C220">
        <f>RAW_DATA!C220</f>
        <v>0</v>
      </c>
      <c r="D220">
        <f>RAW_DATA!D220</f>
        <v>0</v>
      </c>
      <c r="E220">
        <f>RAW_DATA!E220</f>
        <v>0</v>
      </c>
      <c r="F220">
        <f>RAW_DATA!F220</f>
        <v>0</v>
      </c>
      <c r="G220">
        <f>RAW_DATA!G220</f>
        <v>0</v>
      </c>
      <c r="H220">
        <f>RAW_DATA!H220</f>
        <v>0</v>
      </c>
      <c r="I220">
        <f>RAW_DATA!I220</f>
        <v>0</v>
      </c>
      <c r="J220">
        <f>RAW_DATA!J220</f>
        <v>0</v>
      </c>
      <c r="K220">
        <f>RAW_DATA!K220</f>
        <v>0</v>
      </c>
      <c r="L220">
        <f>RAW_DATA!L220</f>
        <v>0</v>
      </c>
      <c r="M220">
        <f>H220*I220</f>
        <v>0</v>
      </c>
      <c r="N220">
        <f>ISOWEEKNUM(B220)</f>
        <v>0</v>
      </c>
      <c r="O220">
        <f>TEXT(B220,"mmm")</f>
        <v>0</v>
      </c>
      <c r="P220">
        <f>"Q"&amp;ROUNDUP(MONTH(B220)/3,0)</f>
        <v>0</v>
      </c>
      <c r="Q220">
        <f>IF(J220&gt;=4,"High",IF(J220&gt;=3,"Medium","Low"))</f>
        <v>0</v>
      </c>
      <c r="R220">
        <f>IF(K220&lt;=5,"On Time","Delayed")</f>
        <v>0</v>
      </c>
    </row>
    <row r="221" spans="1:18">
      <c r="A221">
        <f>RAW_DATA!A221</f>
        <v>0</v>
      </c>
      <c r="B221">
        <f>RAW_DATA!B221</f>
        <v>0</v>
      </c>
      <c r="C221">
        <f>RAW_DATA!C221</f>
        <v>0</v>
      </c>
      <c r="D221">
        <f>RAW_DATA!D221</f>
        <v>0</v>
      </c>
      <c r="E221">
        <f>RAW_DATA!E221</f>
        <v>0</v>
      </c>
      <c r="F221">
        <f>RAW_DATA!F221</f>
        <v>0</v>
      </c>
      <c r="G221">
        <f>RAW_DATA!G221</f>
        <v>0</v>
      </c>
      <c r="H221">
        <f>RAW_DATA!H221</f>
        <v>0</v>
      </c>
      <c r="I221">
        <f>RAW_DATA!I221</f>
        <v>0</v>
      </c>
      <c r="J221">
        <f>RAW_DATA!J221</f>
        <v>0</v>
      </c>
      <c r="K221">
        <f>RAW_DATA!K221</f>
        <v>0</v>
      </c>
      <c r="L221">
        <f>RAW_DATA!L221</f>
        <v>0</v>
      </c>
      <c r="M221">
        <f>H221*I221</f>
        <v>0</v>
      </c>
      <c r="N221">
        <f>ISOWEEKNUM(B221)</f>
        <v>0</v>
      </c>
      <c r="O221">
        <f>TEXT(B221,"mmm")</f>
        <v>0</v>
      </c>
      <c r="P221">
        <f>"Q"&amp;ROUNDUP(MONTH(B221)/3,0)</f>
        <v>0</v>
      </c>
      <c r="Q221">
        <f>IF(J221&gt;=4,"High",IF(J221&gt;=3,"Medium","Low"))</f>
        <v>0</v>
      </c>
      <c r="R221">
        <f>IF(K221&lt;=5,"On Time","Delayed")</f>
        <v>0</v>
      </c>
    </row>
    <row r="222" spans="1:18">
      <c r="A222">
        <f>RAW_DATA!A222</f>
        <v>0</v>
      </c>
      <c r="B222">
        <f>RAW_DATA!B222</f>
        <v>0</v>
      </c>
      <c r="C222">
        <f>RAW_DATA!C222</f>
        <v>0</v>
      </c>
      <c r="D222">
        <f>RAW_DATA!D222</f>
        <v>0</v>
      </c>
      <c r="E222">
        <f>RAW_DATA!E222</f>
        <v>0</v>
      </c>
      <c r="F222">
        <f>RAW_DATA!F222</f>
        <v>0</v>
      </c>
      <c r="G222">
        <f>RAW_DATA!G222</f>
        <v>0</v>
      </c>
      <c r="H222">
        <f>RAW_DATA!H222</f>
        <v>0</v>
      </c>
      <c r="I222">
        <f>RAW_DATA!I222</f>
        <v>0</v>
      </c>
      <c r="J222">
        <f>RAW_DATA!J222</f>
        <v>0</v>
      </c>
      <c r="K222">
        <f>RAW_DATA!K222</f>
        <v>0</v>
      </c>
      <c r="L222">
        <f>RAW_DATA!L222</f>
        <v>0</v>
      </c>
      <c r="M222">
        <f>H222*I222</f>
        <v>0</v>
      </c>
      <c r="N222">
        <f>ISOWEEKNUM(B222)</f>
        <v>0</v>
      </c>
      <c r="O222">
        <f>TEXT(B222,"mmm")</f>
        <v>0</v>
      </c>
      <c r="P222">
        <f>"Q"&amp;ROUNDUP(MONTH(B222)/3,0)</f>
        <v>0</v>
      </c>
      <c r="Q222">
        <f>IF(J222&gt;=4,"High",IF(J222&gt;=3,"Medium","Low"))</f>
        <v>0</v>
      </c>
      <c r="R222">
        <f>IF(K222&lt;=5,"On Time","Delayed")</f>
        <v>0</v>
      </c>
    </row>
    <row r="223" spans="1:18">
      <c r="A223">
        <f>RAW_DATA!A223</f>
        <v>0</v>
      </c>
      <c r="B223">
        <f>RAW_DATA!B223</f>
        <v>0</v>
      </c>
      <c r="C223">
        <f>RAW_DATA!C223</f>
        <v>0</v>
      </c>
      <c r="D223">
        <f>RAW_DATA!D223</f>
        <v>0</v>
      </c>
      <c r="E223">
        <f>RAW_DATA!E223</f>
        <v>0</v>
      </c>
      <c r="F223">
        <f>RAW_DATA!F223</f>
        <v>0</v>
      </c>
      <c r="G223">
        <f>RAW_DATA!G223</f>
        <v>0</v>
      </c>
      <c r="H223">
        <f>RAW_DATA!H223</f>
        <v>0</v>
      </c>
      <c r="I223">
        <f>RAW_DATA!I223</f>
        <v>0</v>
      </c>
      <c r="J223">
        <f>RAW_DATA!J223</f>
        <v>0</v>
      </c>
      <c r="K223">
        <f>RAW_DATA!K223</f>
        <v>0</v>
      </c>
      <c r="L223">
        <f>RAW_DATA!L223</f>
        <v>0</v>
      </c>
      <c r="M223">
        <f>H223*I223</f>
        <v>0</v>
      </c>
      <c r="N223">
        <f>ISOWEEKNUM(B223)</f>
        <v>0</v>
      </c>
      <c r="O223">
        <f>TEXT(B223,"mmm")</f>
        <v>0</v>
      </c>
      <c r="P223">
        <f>"Q"&amp;ROUNDUP(MONTH(B223)/3,0)</f>
        <v>0</v>
      </c>
      <c r="Q223">
        <f>IF(J223&gt;=4,"High",IF(J223&gt;=3,"Medium","Low"))</f>
        <v>0</v>
      </c>
      <c r="R223">
        <f>IF(K223&lt;=5,"On Time","Delayed")</f>
        <v>0</v>
      </c>
    </row>
    <row r="224" spans="1:18">
      <c r="A224">
        <f>RAW_DATA!A224</f>
        <v>0</v>
      </c>
      <c r="B224">
        <f>RAW_DATA!B224</f>
        <v>0</v>
      </c>
      <c r="C224">
        <f>RAW_DATA!C224</f>
        <v>0</v>
      </c>
      <c r="D224">
        <f>RAW_DATA!D224</f>
        <v>0</v>
      </c>
      <c r="E224">
        <f>RAW_DATA!E224</f>
        <v>0</v>
      </c>
      <c r="F224">
        <f>RAW_DATA!F224</f>
        <v>0</v>
      </c>
      <c r="G224">
        <f>RAW_DATA!G224</f>
        <v>0</v>
      </c>
      <c r="H224">
        <f>RAW_DATA!H224</f>
        <v>0</v>
      </c>
      <c r="I224">
        <f>RAW_DATA!I224</f>
        <v>0</v>
      </c>
      <c r="J224">
        <f>RAW_DATA!J224</f>
        <v>0</v>
      </c>
      <c r="K224">
        <f>RAW_DATA!K224</f>
        <v>0</v>
      </c>
      <c r="L224">
        <f>RAW_DATA!L224</f>
        <v>0</v>
      </c>
      <c r="M224">
        <f>H224*I224</f>
        <v>0</v>
      </c>
      <c r="N224">
        <f>ISOWEEKNUM(B224)</f>
        <v>0</v>
      </c>
      <c r="O224">
        <f>TEXT(B224,"mmm")</f>
        <v>0</v>
      </c>
      <c r="P224">
        <f>"Q"&amp;ROUNDUP(MONTH(B224)/3,0)</f>
        <v>0</v>
      </c>
      <c r="Q224">
        <f>IF(J224&gt;=4,"High",IF(J224&gt;=3,"Medium","Low"))</f>
        <v>0</v>
      </c>
      <c r="R224">
        <f>IF(K224&lt;=5,"On Time","Delayed")</f>
        <v>0</v>
      </c>
    </row>
    <row r="225" spans="1:18">
      <c r="A225">
        <f>RAW_DATA!A225</f>
        <v>0</v>
      </c>
      <c r="B225">
        <f>RAW_DATA!B225</f>
        <v>0</v>
      </c>
      <c r="C225">
        <f>RAW_DATA!C225</f>
        <v>0</v>
      </c>
      <c r="D225">
        <f>RAW_DATA!D225</f>
        <v>0</v>
      </c>
      <c r="E225">
        <f>RAW_DATA!E225</f>
        <v>0</v>
      </c>
      <c r="F225">
        <f>RAW_DATA!F225</f>
        <v>0</v>
      </c>
      <c r="G225">
        <f>RAW_DATA!G225</f>
        <v>0</v>
      </c>
      <c r="H225">
        <f>RAW_DATA!H225</f>
        <v>0</v>
      </c>
      <c r="I225">
        <f>RAW_DATA!I225</f>
        <v>0</v>
      </c>
      <c r="J225">
        <f>RAW_DATA!J225</f>
        <v>0</v>
      </c>
      <c r="K225">
        <f>RAW_DATA!K225</f>
        <v>0</v>
      </c>
      <c r="L225">
        <f>RAW_DATA!L225</f>
        <v>0</v>
      </c>
      <c r="M225">
        <f>H225*I225</f>
        <v>0</v>
      </c>
      <c r="N225">
        <f>ISOWEEKNUM(B225)</f>
        <v>0</v>
      </c>
      <c r="O225">
        <f>TEXT(B225,"mmm")</f>
        <v>0</v>
      </c>
      <c r="P225">
        <f>"Q"&amp;ROUNDUP(MONTH(B225)/3,0)</f>
        <v>0</v>
      </c>
      <c r="Q225">
        <f>IF(J225&gt;=4,"High",IF(J225&gt;=3,"Medium","Low"))</f>
        <v>0</v>
      </c>
      <c r="R225">
        <f>IF(K225&lt;=5,"On Time","Delayed")</f>
        <v>0</v>
      </c>
    </row>
    <row r="226" spans="1:18">
      <c r="A226">
        <f>RAW_DATA!A226</f>
        <v>0</v>
      </c>
      <c r="B226">
        <f>RAW_DATA!B226</f>
        <v>0</v>
      </c>
      <c r="C226">
        <f>RAW_DATA!C226</f>
        <v>0</v>
      </c>
      <c r="D226">
        <f>RAW_DATA!D226</f>
        <v>0</v>
      </c>
      <c r="E226">
        <f>RAW_DATA!E226</f>
        <v>0</v>
      </c>
      <c r="F226">
        <f>RAW_DATA!F226</f>
        <v>0</v>
      </c>
      <c r="G226">
        <f>RAW_DATA!G226</f>
        <v>0</v>
      </c>
      <c r="H226">
        <f>RAW_DATA!H226</f>
        <v>0</v>
      </c>
      <c r="I226">
        <f>RAW_DATA!I226</f>
        <v>0</v>
      </c>
      <c r="J226">
        <f>RAW_DATA!J226</f>
        <v>0</v>
      </c>
      <c r="K226">
        <f>RAW_DATA!K226</f>
        <v>0</v>
      </c>
      <c r="L226">
        <f>RAW_DATA!L226</f>
        <v>0</v>
      </c>
      <c r="M226">
        <f>H226*I226</f>
        <v>0</v>
      </c>
      <c r="N226">
        <f>ISOWEEKNUM(B226)</f>
        <v>0</v>
      </c>
      <c r="O226">
        <f>TEXT(B226,"mmm")</f>
        <v>0</v>
      </c>
      <c r="P226">
        <f>"Q"&amp;ROUNDUP(MONTH(B226)/3,0)</f>
        <v>0</v>
      </c>
      <c r="Q226">
        <f>IF(J226&gt;=4,"High",IF(J226&gt;=3,"Medium","Low"))</f>
        <v>0</v>
      </c>
      <c r="R226">
        <f>IF(K226&lt;=5,"On Time","Delayed")</f>
        <v>0</v>
      </c>
    </row>
    <row r="227" spans="1:18">
      <c r="A227">
        <f>RAW_DATA!A227</f>
        <v>0</v>
      </c>
      <c r="B227">
        <f>RAW_DATA!B227</f>
        <v>0</v>
      </c>
      <c r="C227">
        <f>RAW_DATA!C227</f>
        <v>0</v>
      </c>
      <c r="D227">
        <f>RAW_DATA!D227</f>
        <v>0</v>
      </c>
      <c r="E227">
        <f>RAW_DATA!E227</f>
        <v>0</v>
      </c>
      <c r="F227">
        <f>RAW_DATA!F227</f>
        <v>0</v>
      </c>
      <c r="G227">
        <f>RAW_DATA!G227</f>
        <v>0</v>
      </c>
      <c r="H227">
        <f>RAW_DATA!H227</f>
        <v>0</v>
      </c>
      <c r="I227">
        <f>RAW_DATA!I227</f>
        <v>0</v>
      </c>
      <c r="J227">
        <f>RAW_DATA!J227</f>
        <v>0</v>
      </c>
      <c r="K227">
        <f>RAW_DATA!K227</f>
        <v>0</v>
      </c>
      <c r="L227">
        <f>RAW_DATA!L227</f>
        <v>0</v>
      </c>
      <c r="M227">
        <f>H227*I227</f>
        <v>0</v>
      </c>
      <c r="N227">
        <f>ISOWEEKNUM(B227)</f>
        <v>0</v>
      </c>
      <c r="O227">
        <f>TEXT(B227,"mmm")</f>
        <v>0</v>
      </c>
      <c r="P227">
        <f>"Q"&amp;ROUNDUP(MONTH(B227)/3,0)</f>
        <v>0</v>
      </c>
      <c r="Q227">
        <f>IF(J227&gt;=4,"High",IF(J227&gt;=3,"Medium","Low"))</f>
        <v>0</v>
      </c>
      <c r="R227">
        <f>IF(K227&lt;=5,"On Time","Delayed")</f>
        <v>0</v>
      </c>
    </row>
    <row r="228" spans="1:18">
      <c r="A228">
        <f>RAW_DATA!A228</f>
        <v>0</v>
      </c>
      <c r="B228">
        <f>RAW_DATA!B228</f>
        <v>0</v>
      </c>
      <c r="C228">
        <f>RAW_DATA!C228</f>
        <v>0</v>
      </c>
      <c r="D228">
        <f>RAW_DATA!D228</f>
        <v>0</v>
      </c>
      <c r="E228">
        <f>RAW_DATA!E228</f>
        <v>0</v>
      </c>
      <c r="F228">
        <f>RAW_DATA!F228</f>
        <v>0</v>
      </c>
      <c r="G228">
        <f>RAW_DATA!G228</f>
        <v>0</v>
      </c>
      <c r="H228">
        <f>RAW_DATA!H228</f>
        <v>0</v>
      </c>
      <c r="I228">
        <f>RAW_DATA!I228</f>
        <v>0</v>
      </c>
      <c r="J228">
        <f>RAW_DATA!J228</f>
        <v>0</v>
      </c>
      <c r="K228">
        <f>RAW_DATA!K228</f>
        <v>0</v>
      </c>
      <c r="L228">
        <f>RAW_DATA!L228</f>
        <v>0</v>
      </c>
      <c r="M228">
        <f>H228*I228</f>
        <v>0</v>
      </c>
      <c r="N228">
        <f>ISOWEEKNUM(B228)</f>
        <v>0</v>
      </c>
      <c r="O228">
        <f>TEXT(B228,"mmm")</f>
        <v>0</v>
      </c>
      <c r="P228">
        <f>"Q"&amp;ROUNDUP(MONTH(B228)/3,0)</f>
        <v>0</v>
      </c>
      <c r="Q228">
        <f>IF(J228&gt;=4,"High",IF(J228&gt;=3,"Medium","Low"))</f>
        <v>0</v>
      </c>
      <c r="R228">
        <f>IF(K228&lt;=5,"On Time","Delayed")</f>
        <v>0</v>
      </c>
    </row>
    <row r="229" spans="1:18">
      <c r="A229">
        <f>RAW_DATA!A229</f>
        <v>0</v>
      </c>
      <c r="B229">
        <f>RAW_DATA!B229</f>
        <v>0</v>
      </c>
      <c r="C229">
        <f>RAW_DATA!C229</f>
        <v>0</v>
      </c>
      <c r="D229">
        <f>RAW_DATA!D229</f>
        <v>0</v>
      </c>
      <c r="E229">
        <f>RAW_DATA!E229</f>
        <v>0</v>
      </c>
      <c r="F229">
        <f>RAW_DATA!F229</f>
        <v>0</v>
      </c>
      <c r="G229">
        <f>RAW_DATA!G229</f>
        <v>0</v>
      </c>
      <c r="H229">
        <f>RAW_DATA!H229</f>
        <v>0</v>
      </c>
      <c r="I229">
        <f>RAW_DATA!I229</f>
        <v>0</v>
      </c>
      <c r="J229">
        <f>RAW_DATA!J229</f>
        <v>0</v>
      </c>
      <c r="K229">
        <f>RAW_DATA!K229</f>
        <v>0</v>
      </c>
      <c r="L229">
        <f>RAW_DATA!L229</f>
        <v>0</v>
      </c>
      <c r="M229">
        <f>H229*I229</f>
        <v>0</v>
      </c>
      <c r="N229">
        <f>ISOWEEKNUM(B229)</f>
        <v>0</v>
      </c>
      <c r="O229">
        <f>TEXT(B229,"mmm")</f>
        <v>0</v>
      </c>
      <c r="P229">
        <f>"Q"&amp;ROUNDUP(MONTH(B229)/3,0)</f>
        <v>0</v>
      </c>
      <c r="Q229">
        <f>IF(J229&gt;=4,"High",IF(J229&gt;=3,"Medium","Low"))</f>
        <v>0</v>
      </c>
      <c r="R229">
        <f>IF(K229&lt;=5,"On Time","Delayed")</f>
        <v>0</v>
      </c>
    </row>
    <row r="230" spans="1:18">
      <c r="A230">
        <f>RAW_DATA!A230</f>
        <v>0</v>
      </c>
      <c r="B230">
        <f>RAW_DATA!B230</f>
        <v>0</v>
      </c>
      <c r="C230">
        <f>RAW_DATA!C230</f>
        <v>0</v>
      </c>
      <c r="D230">
        <f>RAW_DATA!D230</f>
        <v>0</v>
      </c>
      <c r="E230">
        <f>RAW_DATA!E230</f>
        <v>0</v>
      </c>
      <c r="F230">
        <f>RAW_DATA!F230</f>
        <v>0</v>
      </c>
      <c r="G230">
        <f>RAW_DATA!G230</f>
        <v>0</v>
      </c>
      <c r="H230">
        <f>RAW_DATA!H230</f>
        <v>0</v>
      </c>
      <c r="I230">
        <f>RAW_DATA!I230</f>
        <v>0</v>
      </c>
      <c r="J230">
        <f>RAW_DATA!J230</f>
        <v>0</v>
      </c>
      <c r="K230">
        <f>RAW_DATA!K230</f>
        <v>0</v>
      </c>
      <c r="L230">
        <f>RAW_DATA!L230</f>
        <v>0</v>
      </c>
      <c r="M230">
        <f>H230*I230</f>
        <v>0</v>
      </c>
      <c r="N230">
        <f>ISOWEEKNUM(B230)</f>
        <v>0</v>
      </c>
      <c r="O230">
        <f>TEXT(B230,"mmm")</f>
        <v>0</v>
      </c>
      <c r="P230">
        <f>"Q"&amp;ROUNDUP(MONTH(B230)/3,0)</f>
        <v>0</v>
      </c>
      <c r="Q230">
        <f>IF(J230&gt;=4,"High",IF(J230&gt;=3,"Medium","Low"))</f>
        <v>0</v>
      </c>
      <c r="R230">
        <f>IF(K230&lt;=5,"On Time","Delayed")</f>
        <v>0</v>
      </c>
    </row>
    <row r="231" spans="1:18">
      <c r="A231">
        <f>RAW_DATA!A231</f>
        <v>0</v>
      </c>
      <c r="B231">
        <f>RAW_DATA!B231</f>
        <v>0</v>
      </c>
      <c r="C231">
        <f>RAW_DATA!C231</f>
        <v>0</v>
      </c>
      <c r="D231">
        <f>RAW_DATA!D231</f>
        <v>0</v>
      </c>
      <c r="E231">
        <f>RAW_DATA!E231</f>
        <v>0</v>
      </c>
      <c r="F231">
        <f>RAW_DATA!F231</f>
        <v>0</v>
      </c>
      <c r="G231">
        <f>RAW_DATA!G231</f>
        <v>0</v>
      </c>
      <c r="H231">
        <f>RAW_DATA!H231</f>
        <v>0</v>
      </c>
      <c r="I231">
        <f>RAW_DATA!I231</f>
        <v>0</v>
      </c>
      <c r="J231">
        <f>RAW_DATA!J231</f>
        <v>0</v>
      </c>
      <c r="K231">
        <f>RAW_DATA!K231</f>
        <v>0</v>
      </c>
      <c r="L231">
        <f>RAW_DATA!L231</f>
        <v>0</v>
      </c>
      <c r="M231">
        <f>H231*I231</f>
        <v>0</v>
      </c>
      <c r="N231">
        <f>ISOWEEKNUM(B231)</f>
        <v>0</v>
      </c>
      <c r="O231">
        <f>TEXT(B231,"mmm")</f>
        <v>0</v>
      </c>
      <c r="P231">
        <f>"Q"&amp;ROUNDUP(MONTH(B231)/3,0)</f>
        <v>0</v>
      </c>
      <c r="Q231">
        <f>IF(J231&gt;=4,"High",IF(J231&gt;=3,"Medium","Low"))</f>
        <v>0</v>
      </c>
      <c r="R231">
        <f>IF(K231&lt;=5,"On Time","Delayed")</f>
        <v>0</v>
      </c>
    </row>
    <row r="232" spans="1:18">
      <c r="A232">
        <f>RAW_DATA!A232</f>
        <v>0</v>
      </c>
      <c r="B232">
        <f>RAW_DATA!B232</f>
        <v>0</v>
      </c>
      <c r="C232">
        <f>RAW_DATA!C232</f>
        <v>0</v>
      </c>
      <c r="D232">
        <f>RAW_DATA!D232</f>
        <v>0</v>
      </c>
      <c r="E232">
        <f>RAW_DATA!E232</f>
        <v>0</v>
      </c>
      <c r="F232">
        <f>RAW_DATA!F232</f>
        <v>0</v>
      </c>
      <c r="G232">
        <f>RAW_DATA!G232</f>
        <v>0</v>
      </c>
      <c r="H232">
        <f>RAW_DATA!H232</f>
        <v>0</v>
      </c>
      <c r="I232">
        <f>RAW_DATA!I232</f>
        <v>0</v>
      </c>
      <c r="J232">
        <f>RAW_DATA!J232</f>
        <v>0</v>
      </c>
      <c r="K232">
        <f>RAW_DATA!K232</f>
        <v>0</v>
      </c>
      <c r="L232">
        <f>RAW_DATA!L232</f>
        <v>0</v>
      </c>
      <c r="M232">
        <f>H232*I232</f>
        <v>0</v>
      </c>
      <c r="N232">
        <f>ISOWEEKNUM(B232)</f>
        <v>0</v>
      </c>
      <c r="O232">
        <f>TEXT(B232,"mmm")</f>
        <v>0</v>
      </c>
      <c r="P232">
        <f>"Q"&amp;ROUNDUP(MONTH(B232)/3,0)</f>
        <v>0</v>
      </c>
      <c r="Q232">
        <f>IF(J232&gt;=4,"High",IF(J232&gt;=3,"Medium","Low"))</f>
        <v>0</v>
      </c>
      <c r="R232">
        <f>IF(K232&lt;=5,"On Time","Delayed")</f>
        <v>0</v>
      </c>
    </row>
    <row r="233" spans="1:18">
      <c r="A233">
        <f>RAW_DATA!A233</f>
        <v>0</v>
      </c>
      <c r="B233">
        <f>RAW_DATA!B233</f>
        <v>0</v>
      </c>
      <c r="C233">
        <f>RAW_DATA!C233</f>
        <v>0</v>
      </c>
      <c r="D233">
        <f>RAW_DATA!D233</f>
        <v>0</v>
      </c>
      <c r="E233">
        <f>RAW_DATA!E233</f>
        <v>0</v>
      </c>
      <c r="F233">
        <f>RAW_DATA!F233</f>
        <v>0</v>
      </c>
      <c r="G233">
        <f>RAW_DATA!G233</f>
        <v>0</v>
      </c>
      <c r="H233">
        <f>RAW_DATA!H233</f>
        <v>0</v>
      </c>
      <c r="I233">
        <f>RAW_DATA!I233</f>
        <v>0</v>
      </c>
      <c r="J233">
        <f>RAW_DATA!J233</f>
        <v>0</v>
      </c>
      <c r="K233">
        <f>RAW_DATA!K233</f>
        <v>0</v>
      </c>
      <c r="L233">
        <f>RAW_DATA!L233</f>
        <v>0</v>
      </c>
      <c r="M233">
        <f>H233*I233</f>
        <v>0</v>
      </c>
      <c r="N233">
        <f>ISOWEEKNUM(B233)</f>
        <v>0</v>
      </c>
      <c r="O233">
        <f>TEXT(B233,"mmm")</f>
        <v>0</v>
      </c>
      <c r="P233">
        <f>"Q"&amp;ROUNDUP(MONTH(B233)/3,0)</f>
        <v>0</v>
      </c>
      <c r="Q233">
        <f>IF(J233&gt;=4,"High",IF(J233&gt;=3,"Medium","Low"))</f>
        <v>0</v>
      </c>
      <c r="R233">
        <f>IF(K233&lt;=5,"On Time","Delayed")</f>
        <v>0</v>
      </c>
    </row>
    <row r="234" spans="1:18">
      <c r="A234">
        <f>RAW_DATA!A234</f>
        <v>0</v>
      </c>
      <c r="B234">
        <f>RAW_DATA!B234</f>
        <v>0</v>
      </c>
      <c r="C234">
        <f>RAW_DATA!C234</f>
        <v>0</v>
      </c>
      <c r="D234">
        <f>RAW_DATA!D234</f>
        <v>0</v>
      </c>
      <c r="E234">
        <f>RAW_DATA!E234</f>
        <v>0</v>
      </c>
      <c r="F234">
        <f>RAW_DATA!F234</f>
        <v>0</v>
      </c>
      <c r="G234">
        <f>RAW_DATA!G234</f>
        <v>0</v>
      </c>
      <c r="H234">
        <f>RAW_DATA!H234</f>
        <v>0</v>
      </c>
      <c r="I234">
        <f>RAW_DATA!I234</f>
        <v>0</v>
      </c>
      <c r="J234">
        <f>RAW_DATA!J234</f>
        <v>0</v>
      </c>
      <c r="K234">
        <f>RAW_DATA!K234</f>
        <v>0</v>
      </c>
      <c r="L234">
        <f>RAW_DATA!L234</f>
        <v>0</v>
      </c>
      <c r="M234">
        <f>H234*I234</f>
        <v>0</v>
      </c>
      <c r="N234">
        <f>ISOWEEKNUM(B234)</f>
        <v>0</v>
      </c>
      <c r="O234">
        <f>TEXT(B234,"mmm")</f>
        <v>0</v>
      </c>
      <c r="P234">
        <f>"Q"&amp;ROUNDUP(MONTH(B234)/3,0)</f>
        <v>0</v>
      </c>
      <c r="Q234">
        <f>IF(J234&gt;=4,"High",IF(J234&gt;=3,"Medium","Low"))</f>
        <v>0</v>
      </c>
      <c r="R234">
        <f>IF(K234&lt;=5,"On Time","Delayed")</f>
        <v>0</v>
      </c>
    </row>
    <row r="235" spans="1:18">
      <c r="A235">
        <f>RAW_DATA!A235</f>
        <v>0</v>
      </c>
      <c r="B235">
        <f>RAW_DATA!B235</f>
        <v>0</v>
      </c>
      <c r="C235">
        <f>RAW_DATA!C235</f>
        <v>0</v>
      </c>
      <c r="D235">
        <f>RAW_DATA!D235</f>
        <v>0</v>
      </c>
      <c r="E235">
        <f>RAW_DATA!E235</f>
        <v>0</v>
      </c>
      <c r="F235">
        <f>RAW_DATA!F235</f>
        <v>0</v>
      </c>
      <c r="G235">
        <f>RAW_DATA!G235</f>
        <v>0</v>
      </c>
      <c r="H235">
        <f>RAW_DATA!H235</f>
        <v>0</v>
      </c>
      <c r="I235">
        <f>RAW_DATA!I235</f>
        <v>0</v>
      </c>
      <c r="J235">
        <f>RAW_DATA!J235</f>
        <v>0</v>
      </c>
      <c r="K235">
        <f>RAW_DATA!K235</f>
        <v>0</v>
      </c>
      <c r="L235">
        <f>RAW_DATA!L235</f>
        <v>0</v>
      </c>
      <c r="M235">
        <f>H235*I235</f>
        <v>0</v>
      </c>
      <c r="N235">
        <f>ISOWEEKNUM(B235)</f>
        <v>0</v>
      </c>
      <c r="O235">
        <f>TEXT(B235,"mmm")</f>
        <v>0</v>
      </c>
      <c r="P235">
        <f>"Q"&amp;ROUNDUP(MONTH(B235)/3,0)</f>
        <v>0</v>
      </c>
      <c r="Q235">
        <f>IF(J235&gt;=4,"High",IF(J235&gt;=3,"Medium","Low"))</f>
        <v>0</v>
      </c>
      <c r="R235">
        <f>IF(K235&lt;=5,"On Time","Delayed")</f>
        <v>0</v>
      </c>
    </row>
    <row r="236" spans="1:18">
      <c r="A236">
        <f>RAW_DATA!A236</f>
        <v>0</v>
      </c>
      <c r="B236">
        <f>RAW_DATA!B236</f>
        <v>0</v>
      </c>
      <c r="C236">
        <f>RAW_DATA!C236</f>
        <v>0</v>
      </c>
      <c r="D236">
        <f>RAW_DATA!D236</f>
        <v>0</v>
      </c>
      <c r="E236">
        <f>RAW_DATA!E236</f>
        <v>0</v>
      </c>
      <c r="F236">
        <f>RAW_DATA!F236</f>
        <v>0</v>
      </c>
      <c r="G236">
        <f>RAW_DATA!G236</f>
        <v>0</v>
      </c>
      <c r="H236">
        <f>RAW_DATA!H236</f>
        <v>0</v>
      </c>
      <c r="I236">
        <f>RAW_DATA!I236</f>
        <v>0</v>
      </c>
      <c r="J236">
        <f>RAW_DATA!J236</f>
        <v>0</v>
      </c>
      <c r="K236">
        <f>RAW_DATA!K236</f>
        <v>0</v>
      </c>
      <c r="L236">
        <f>RAW_DATA!L236</f>
        <v>0</v>
      </c>
      <c r="M236">
        <f>H236*I236</f>
        <v>0</v>
      </c>
      <c r="N236">
        <f>ISOWEEKNUM(B236)</f>
        <v>0</v>
      </c>
      <c r="O236">
        <f>TEXT(B236,"mmm")</f>
        <v>0</v>
      </c>
      <c r="P236">
        <f>"Q"&amp;ROUNDUP(MONTH(B236)/3,0)</f>
        <v>0</v>
      </c>
      <c r="Q236">
        <f>IF(J236&gt;=4,"High",IF(J236&gt;=3,"Medium","Low"))</f>
        <v>0</v>
      </c>
      <c r="R236">
        <f>IF(K236&lt;=5,"On Time","Delayed")</f>
        <v>0</v>
      </c>
    </row>
    <row r="237" spans="1:18">
      <c r="A237">
        <f>RAW_DATA!A237</f>
        <v>0</v>
      </c>
      <c r="B237">
        <f>RAW_DATA!B237</f>
        <v>0</v>
      </c>
      <c r="C237">
        <f>RAW_DATA!C237</f>
        <v>0</v>
      </c>
      <c r="D237">
        <f>RAW_DATA!D237</f>
        <v>0</v>
      </c>
      <c r="E237">
        <f>RAW_DATA!E237</f>
        <v>0</v>
      </c>
      <c r="F237">
        <f>RAW_DATA!F237</f>
        <v>0</v>
      </c>
      <c r="G237">
        <f>RAW_DATA!G237</f>
        <v>0</v>
      </c>
      <c r="H237">
        <f>RAW_DATA!H237</f>
        <v>0</v>
      </c>
      <c r="I237">
        <f>RAW_DATA!I237</f>
        <v>0</v>
      </c>
      <c r="J237">
        <f>RAW_DATA!J237</f>
        <v>0</v>
      </c>
      <c r="K237">
        <f>RAW_DATA!K237</f>
        <v>0</v>
      </c>
      <c r="L237">
        <f>RAW_DATA!L237</f>
        <v>0</v>
      </c>
      <c r="M237">
        <f>H237*I237</f>
        <v>0</v>
      </c>
      <c r="N237">
        <f>ISOWEEKNUM(B237)</f>
        <v>0</v>
      </c>
      <c r="O237">
        <f>TEXT(B237,"mmm")</f>
        <v>0</v>
      </c>
      <c r="P237">
        <f>"Q"&amp;ROUNDUP(MONTH(B237)/3,0)</f>
        <v>0</v>
      </c>
      <c r="Q237">
        <f>IF(J237&gt;=4,"High",IF(J237&gt;=3,"Medium","Low"))</f>
        <v>0</v>
      </c>
      <c r="R237">
        <f>IF(K237&lt;=5,"On Time","Delayed")</f>
        <v>0</v>
      </c>
    </row>
    <row r="238" spans="1:18">
      <c r="A238">
        <f>RAW_DATA!A238</f>
        <v>0</v>
      </c>
      <c r="B238">
        <f>RAW_DATA!B238</f>
        <v>0</v>
      </c>
      <c r="C238">
        <f>RAW_DATA!C238</f>
        <v>0</v>
      </c>
      <c r="D238">
        <f>RAW_DATA!D238</f>
        <v>0</v>
      </c>
      <c r="E238">
        <f>RAW_DATA!E238</f>
        <v>0</v>
      </c>
      <c r="F238">
        <f>RAW_DATA!F238</f>
        <v>0</v>
      </c>
      <c r="G238">
        <f>RAW_DATA!G238</f>
        <v>0</v>
      </c>
      <c r="H238">
        <f>RAW_DATA!H238</f>
        <v>0</v>
      </c>
      <c r="I238">
        <f>RAW_DATA!I238</f>
        <v>0</v>
      </c>
      <c r="J238">
        <f>RAW_DATA!J238</f>
        <v>0</v>
      </c>
      <c r="K238">
        <f>RAW_DATA!K238</f>
        <v>0</v>
      </c>
      <c r="L238">
        <f>RAW_DATA!L238</f>
        <v>0</v>
      </c>
      <c r="M238">
        <f>H238*I238</f>
        <v>0</v>
      </c>
      <c r="N238">
        <f>ISOWEEKNUM(B238)</f>
        <v>0</v>
      </c>
      <c r="O238">
        <f>TEXT(B238,"mmm")</f>
        <v>0</v>
      </c>
      <c r="P238">
        <f>"Q"&amp;ROUNDUP(MONTH(B238)/3,0)</f>
        <v>0</v>
      </c>
      <c r="Q238">
        <f>IF(J238&gt;=4,"High",IF(J238&gt;=3,"Medium","Low"))</f>
        <v>0</v>
      </c>
      <c r="R238">
        <f>IF(K238&lt;=5,"On Time","Delayed")</f>
        <v>0</v>
      </c>
    </row>
    <row r="239" spans="1:18">
      <c r="A239">
        <f>RAW_DATA!A239</f>
        <v>0</v>
      </c>
      <c r="B239">
        <f>RAW_DATA!B239</f>
        <v>0</v>
      </c>
      <c r="C239">
        <f>RAW_DATA!C239</f>
        <v>0</v>
      </c>
      <c r="D239">
        <f>RAW_DATA!D239</f>
        <v>0</v>
      </c>
      <c r="E239">
        <f>RAW_DATA!E239</f>
        <v>0</v>
      </c>
      <c r="F239">
        <f>RAW_DATA!F239</f>
        <v>0</v>
      </c>
      <c r="G239">
        <f>RAW_DATA!G239</f>
        <v>0</v>
      </c>
      <c r="H239">
        <f>RAW_DATA!H239</f>
        <v>0</v>
      </c>
      <c r="I239">
        <f>RAW_DATA!I239</f>
        <v>0</v>
      </c>
      <c r="J239">
        <f>RAW_DATA!J239</f>
        <v>0</v>
      </c>
      <c r="K239">
        <f>RAW_DATA!K239</f>
        <v>0</v>
      </c>
      <c r="L239">
        <f>RAW_DATA!L239</f>
        <v>0</v>
      </c>
      <c r="M239">
        <f>H239*I239</f>
        <v>0</v>
      </c>
      <c r="N239">
        <f>ISOWEEKNUM(B239)</f>
        <v>0</v>
      </c>
      <c r="O239">
        <f>TEXT(B239,"mmm")</f>
        <v>0</v>
      </c>
      <c r="P239">
        <f>"Q"&amp;ROUNDUP(MONTH(B239)/3,0)</f>
        <v>0</v>
      </c>
      <c r="Q239">
        <f>IF(J239&gt;=4,"High",IF(J239&gt;=3,"Medium","Low"))</f>
        <v>0</v>
      </c>
      <c r="R239">
        <f>IF(K239&lt;=5,"On Time","Delayed")</f>
        <v>0</v>
      </c>
    </row>
    <row r="240" spans="1:18">
      <c r="A240">
        <f>RAW_DATA!A240</f>
        <v>0</v>
      </c>
      <c r="B240">
        <f>RAW_DATA!B240</f>
        <v>0</v>
      </c>
      <c r="C240">
        <f>RAW_DATA!C240</f>
        <v>0</v>
      </c>
      <c r="D240">
        <f>RAW_DATA!D240</f>
        <v>0</v>
      </c>
      <c r="E240">
        <f>RAW_DATA!E240</f>
        <v>0</v>
      </c>
      <c r="F240">
        <f>RAW_DATA!F240</f>
        <v>0</v>
      </c>
      <c r="G240">
        <f>RAW_DATA!G240</f>
        <v>0</v>
      </c>
      <c r="H240">
        <f>RAW_DATA!H240</f>
        <v>0</v>
      </c>
      <c r="I240">
        <f>RAW_DATA!I240</f>
        <v>0</v>
      </c>
      <c r="J240">
        <f>RAW_DATA!J240</f>
        <v>0</v>
      </c>
      <c r="K240">
        <f>RAW_DATA!K240</f>
        <v>0</v>
      </c>
      <c r="L240">
        <f>RAW_DATA!L240</f>
        <v>0</v>
      </c>
      <c r="M240">
        <f>H240*I240</f>
        <v>0</v>
      </c>
      <c r="N240">
        <f>ISOWEEKNUM(B240)</f>
        <v>0</v>
      </c>
      <c r="O240">
        <f>TEXT(B240,"mmm")</f>
        <v>0</v>
      </c>
      <c r="P240">
        <f>"Q"&amp;ROUNDUP(MONTH(B240)/3,0)</f>
        <v>0</v>
      </c>
      <c r="Q240">
        <f>IF(J240&gt;=4,"High",IF(J240&gt;=3,"Medium","Low"))</f>
        <v>0</v>
      </c>
      <c r="R240">
        <f>IF(K240&lt;=5,"On Time","Delayed")</f>
        <v>0</v>
      </c>
    </row>
    <row r="241" spans="1:18">
      <c r="A241">
        <f>RAW_DATA!A241</f>
        <v>0</v>
      </c>
      <c r="B241">
        <f>RAW_DATA!B241</f>
        <v>0</v>
      </c>
      <c r="C241">
        <f>RAW_DATA!C241</f>
        <v>0</v>
      </c>
      <c r="D241">
        <f>RAW_DATA!D241</f>
        <v>0</v>
      </c>
      <c r="E241">
        <f>RAW_DATA!E241</f>
        <v>0</v>
      </c>
      <c r="F241">
        <f>RAW_DATA!F241</f>
        <v>0</v>
      </c>
      <c r="G241">
        <f>RAW_DATA!G241</f>
        <v>0</v>
      </c>
      <c r="H241">
        <f>RAW_DATA!H241</f>
        <v>0</v>
      </c>
      <c r="I241">
        <f>RAW_DATA!I241</f>
        <v>0</v>
      </c>
      <c r="J241">
        <f>RAW_DATA!J241</f>
        <v>0</v>
      </c>
      <c r="K241">
        <f>RAW_DATA!K241</f>
        <v>0</v>
      </c>
      <c r="L241">
        <f>RAW_DATA!L241</f>
        <v>0</v>
      </c>
      <c r="M241">
        <f>H241*I241</f>
        <v>0</v>
      </c>
      <c r="N241">
        <f>ISOWEEKNUM(B241)</f>
        <v>0</v>
      </c>
      <c r="O241">
        <f>TEXT(B241,"mmm")</f>
        <v>0</v>
      </c>
      <c r="P241">
        <f>"Q"&amp;ROUNDUP(MONTH(B241)/3,0)</f>
        <v>0</v>
      </c>
      <c r="Q241">
        <f>IF(J241&gt;=4,"High",IF(J241&gt;=3,"Medium","Low"))</f>
        <v>0</v>
      </c>
      <c r="R241">
        <f>IF(K241&lt;=5,"On Time","Delayed")</f>
        <v>0</v>
      </c>
    </row>
    <row r="242" spans="1:18">
      <c r="A242">
        <f>RAW_DATA!A242</f>
        <v>0</v>
      </c>
      <c r="B242">
        <f>RAW_DATA!B242</f>
        <v>0</v>
      </c>
      <c r="C242">
        <f>RAW_DATA!C242</f>
        <v>0</v>
      </c>
      <c r="D242">
        <f>RAW_DATA!D242</f>
        <v>0</v>
      </c>
      <c r="E242">
        <f>RAW_DATA!E242</f>
        <v>0</v>
      </c>
      <c r="F242">
        <f>RAW_DATA!F242</f>
        <v>0</v>
      </c>
      <c r="G242">
        <f>RAW_DATA!G242</f>
        <v>0</v>
      </c>
      <c r="H242">
        <f>RAW_DATA!H242</f>
        <v>0</v>
      </c>
      <c r="I242">
        <f>RAW_DATA!I242</f>
        <v>0</v>
      </c>
      <c r="J242">
        <f>RAW_DATA!J242</f>
        <v>0</v>
      </c>
      <c r="K242">
        <f>RAW_DATA!K242</f>
        <v>0</v>
      </c>
      <c r="L242">
        <f>RAW_DATA!L242</f>
        <v>0</v>
      </c>
      <c r="M242">
        <f>H242*I242</f>
        <v>0</v>
      </c>
      <c r="N242">
        <f>ISOWEEKNUM(B242)</f>
        <v>0</v>
      </c>
      <c r="O242">
        <f>TEXT(B242,"mmm")</f>
        <v>0</v>
      </c>
      <c r="P242">
        <f>"Q"&amp;ROUNDUP(MONTH(B242)/3,0)</f>
        <v>0</v>
      </c>
      <c r="Q242">
        <f>IF(J242&gt;=4,"High",IF(J242&gt;=3,"Medium","Low"))</f>
        <v>0</v>
      </c>
      <c r="R242">
        <f>IF(K242&lt;=5,"On Time","Delayed")</f>
        <v>0</v>
      </c>
    </row>
    <row r="243" spans="1:18">
      <c r="A243">
        <f>RAW_DATA!A243</f>
        <v>0</v>
      </c>
      <c r="B243">
        <f>RAW_DATA!B243</f>
        <v>0</v>
      </c>
      <c r="C243">
        <f>RAW_DATA!C243</f>
        <v>0</v>
      </c>
      <c r="D243">
        <f>RAW_DATA!D243</f>
        <v>0</v>
      </c>
      <c r="E243">
        <f>RAW_DATA!E243</f>
        <v>0</v>
      </c>
      <c r="F243">
        <f>RAW_DATA!F243</f>
        <v>0</v>
      </c>
      <c r="G243">
        <f>RAW_DATA!G243</f>
        <v>0</v>
      </c>
      <c r="H243">
        <f>RAW_DATA!H243</f>
        <v>0</v>
      </c>
      <c r="I243">
        <f>RAW_DATA!I243</f>
        <v>0</v>
      </c>
      <c r="J243">
        <f>RAW_DATA!J243</f>
        <v>0</v>
      </c>
      <c r="K243">
        <f>RAW_DATA!K243</f>
        <v>0</v>
      </c>
      <c r="L243">
        <f>RAW_DATA!L243</f>
        <v>0</v>
      </c>
      <c r="M243">
        <f>H243*I243</f>
        <v>0</v>
      </c>
      <c r="N243">
        <f>ISOWEEKNUM(B243)</f>
        <v>0</v>
      </c>
      <c r="O243">
        <f>TEXT(B243,"mmm")</f>
        <v>0</v>
      </c>
      <c r="P243">
        <f>"Q"&amp;ROUNDUP(MONTH(B243)/3,0)</f>
        <v>0</v>
      </c>
      <c r="Q243">
        <f>IF(J243&gt;=4,"High",IF(J243&gt;=3,"Medium","Low"))</f>
        <v>0</v>
      </c>
      <c r="R243">
        <f>IF(K243&lt;=5,"On Time","Delayed")</f>
        <v>0</v>
      </c>
    </row>
    <row r="244" spans="1:18">
      <c r="A244">
        <f>RAW_DATA!A244</f>
        <v>0</v>
      </c>
      <c r="B244">
        <f>RAW_DATA!B244</f>
        <v>0</v>
      </c>
      <c r="C244">
        <f>RAW_DATA!C244</f>
        <v>0</v>
      </c>
      <c r="D244">
        <f>RAW_DATA!D244</f>
        <v>0</v>
      </c>
      <c r="E244">
        <f>RAW_DATA!E244</f>
        <v>0</v>
      </c>
      <c r="F244">
        <f>RAW_DATA!F244</f>
        <v>0</v>
      </c>
      <c r="G244">
        <f>RAW_DATA!G244</f>
        <v>0</v>
      </c>
      <c r="H244">
        <f>RAW_DATA!H244</f>
        <v>0</v>
      </c>
      <c r="I244">
        <f>RAW_DATA!I244</f>
        <v>0</v>
      </c>
      <c r="J244">
        <f>RAW_DATA!J244</f>
        <v>0</v>
      </c>
      <c r="K244">
        <f>RAW_DATA!K244</f>
        <v>0</v>
      </c>
      <c r="L244">
        <f>RAW_DATA!L244</f>
        <v>0</v>
      </c>
      <c r="M244">
        <f>H244*I244</f>
        <v>0</v>
      </c>
      <c r="N244">
        <f>ISOWEEKNUM(B244)</f>
        <v>0</v>
      </c>
      <c r="O244">
        <f>TEXT(B244,"mmm")</f>
        <v>0</v>
      </c>
      <c r="P244">
        <f>"Q"&amp;ROUNDUP(MONTH(B244)/3,0)</f>
        <v>0</v>
      </c>
      <c r="Q244">
        <f>IF(J244&gt;=4,"High",IF(J244&gt;=3,"Medium","Low"))</f>
        <v>0</v>
      </c>
      <c r="R244">
        <f>IF(K244&lt;=5,"On Time","Delayed")</f>
        <v>0</v>
      </c>
    </row>
    <row r="245" spans="1:18">
      <c r="A245">
        <f>RAW_DATA!A245</f>
        <v>0</v>
      </c>
      <c r="B245">
        <f>RAW_DATA!B245</f>
        <v>0</v>
      </c>
      <c r="C245">
        <f>RAW_DATA!C245</f>
        <v>0</v>
      </c>
      <c r="D245">
        <f>RAW_DATA!D245</f>
        <v>0</v>
      </c>
      <c r="E245">
        <f>RAW_DATA!E245</f>
        <v>0</v>
      </c>
      <c r="F245">
        <f>RAW_DATA!F245</f>
        <v>0</v>
      </c>
      <c r="G245">
        <f>RAW_DATA!G245</f>
        <v>0</v>
      </c>
      <c r="H245">
        <f>RAW_DATA!H245</f>
        <v>0</v>
      </c>
      <c r="I245">
        <f>RAW_DATA!I245</f>
        <v>0</v>
      </c>
      <c r="J245">
        <f>RAW_DATA!J245</f>
        <v>0</v>
      </c>
      <c r="K245">
        <f>RAW_DATA!K245</f>
        <v>0</v>
      </c>
      <c r="L245">
        <f>RAW_DATA!L245</f>
        <v>0</v>
      </c>
      <c r="M245">
        <f>H245*I245</f>
        <v>0</v>
      </c>
      <c r="N245">
        <f>ISOWEEKNUM(B245)</f>
        <v>0</v>
      </c>
      <c r="O245">
        <f>TEXT(B245,"mmm")</f>
        <v>0</v>
      </c>
      <c r="P245">
        <f>"Q"&amp;ROUNDUP(MONTH(B245)/3,0)</f>
        <v>0</v>
      </c>
      <c r="Q245">
        <f>IF(J245&gt;=4,"High",IF(J245&gt;=3,"Medium","Low"))</f>
        <v>0</v>
      </c>
      <c r="R245">
        <f>IF(K245&lt;=5,"On Time","Delayed")</f>
        <v>0</v>
      </c>
    </row>
    <row r="246" spans="1:18">
      <c r="A246">
        <f>RAW_DATA!A246</f>
        <v>0</v>
      </c>
      <c r="B246">
        <f>RAW_DATA!B246</f>
        <v>0</v>
      </c>
      <c r="C246">
        <f>RAW_DATA!C246</f>
        <v>0</v>
      </c>
      <c r="D246">
        <f>RAW_DATA!D246</f>
        <v>0</v>
      </c>
      <c r="E246">
        <f>RAW_DATA!E246</f>
        <v>0</v>
      </c>
      <c r="F246">
        <f>RAW_DATA!F246</f>
        <v>0</v>
      </c>
      <c r="G246">
        <f>RAW_DATA!G246</f>
        <v>0</v>
      </c>
      <c r="H246">
        <f>RAW_DATA!H246</f>
        <v>0</v>
      </c>
      <c r="I246">
        <f>RAW_DATA!I246</f>
        <v>0</v>
      </c>
      <c r="J246">
        <f>RAW_DATA!J246</f>
        <v>0</v>
      </c>
      <c r="K246">
        <f>RAW_DATA!K246</f>
        <v>0</v>
      </c>
      <c r="L246">
        <f>RAW_DATA!L246</f>
        <v>0</v>
      </c>
      <c r="M246">
        <f>H246*I246</f>
        <v>0</v>
      </c>
      <c r="N246">
        <f>ISOWEEKNUM(B246)</f>
        <v>0</v>
      </c>
      <c r="O246">
        <f>TEXT(B246,"mmm")</f>
        <v>0</v>
      </c>
      <c r="P246">
        <f>"Q"&amp;ROUNDUP(MONTH(B246)/3,0)</f>
        <v>0</v>
      </c>
      <c r="Q246">
        <f>IF(J246&gt;=4,"High",IF(J246&gt;=3,"Medium","Low"))</f>
        <v>0</v>
      </c>
      <c r="R246">
        <f>IF(K246&lt;=5,"On Time","Delayed")</f>
        <v>0</v>
      </c>
    </row>
    <row r="247" spans="1:18">
      <c r="A247">
        <f>RAW_DATA!A247</f>
        <v>0</v>
      </c>
      <c r="B247">
        <f>RAW_DATA!B247</f>
        <v>0</v>
      </c>
      <c r="C247">
        <f>RAW_DATA!C247</f>
        <v>0</v>
      </c>
      <c r="D247">
        <f>RAW_DATA!D247</f>
        <v>0</v>
      </c>
      <c r="E247">
        <f>RAW_DATA!E247</f>
        <v>0</v>
      </c>
      <c r="F247">
        <f>RAW_DATA!F247</f>
        <v>0</v>
      </c>
      <c r="G247">
        <f>RAW_DATA!G247</f>
        <v>0</v>
      </c>
      <c r="H247">
        <f>RAW_DATA!H247</f>
        <v>0</v>
      </c>
      <c r="I247">
        <f>RAW_DATA!I247</f>
        <v>0</v>
      </c>
      <c r="J247">
        <f>RAW_DATA!J247</f>
        <v>0</v>
      </c>
      <c r="K247">
        <f>RAW_DATA!K247</f>
        <v>0</v>
      </c>
      <c r="L247">
        <f>RAW_DATA!L247</f>
        <v>0</v>
      </c>
      <c r="M247">
        <f>H247*I247</f>
        <v>0</v>
      </c>
      <c r="N247">
        <f>ISOWEEKNUM(B247)</f>
        <v>0</v>
      </c>
      <c r="O247">
        <f>TEXT(B247,"mmm")</f>
        <v>0</v>
      </c>
      <c r="P247">
        <f>"Q"&amp;ROUNDUP(MONTH(B247)/3,0)</f>
        <v>0</v>
      </c>
      <c r="Q247">
        <f>IF(J247&gt;=4,"High",IF(J247&gt;=3,"Medium","Low"))</f>
        <v>0</v>
      </c>
      <c r="R247">
        <f>IF(K247&lt;=5,"On Time","Delayed")</f>
        <v>0</v>
      </c>
    </row>
    <row r="248" spans="1:18">
      <c r="A248">
        <f>RAW_DATA!A248</f>
        <v>0</v>
      </c>
      <c r="B248">
        <f>RAW_DATA!B248</f>
        <v>0</v>
      </c>
      <c r="C248">
        <f>RAW_DATA!C248</f>
        <v>0</v>
      </c>
      <c r="D248">
        <f>RAW_DATA!D248</f>
        <v>0</v>
      </c>
      <c r="E248">
        <f>RAW_DATA!E248</f>
        <v>0</v>
      </c>
      <c r="F248">
        <f>RAW_DATA!F248</f>
        <v>0</v>
      </c>
      <c r="G248">
        <f>RAW_DATA!G248</f>
        <v>0</v>
      </c>
      <c r="H248">
        <f>RAW_DATA!H248</f>
        <v>0</v>
      </c>
      <c r="I248">
        <f>RAW_DATA!I248</f>
        <v>0</v>
      </c>
      <c r="J248">
        <f>RAW_DATA!J248</f>
        <v>0</v>
      </c>
      <c r="K248">
        <f>RAW_DATA!K248</f>
        <v>0</v>
      </c>
      <c r="L248">
        <f>RAW_DATA!L248</f>
        <v>0</v>
      </c>
      <c r="M248">
        <f>H248*I248</f>
        <v>0</v>
      </c>
      <c r="N248">
        <f>ISOWEEKNUM(B248)</f>
        <v>0</v>
      </c>
      <c r="O248">
        <f>TEXT(B248,"mmm")</f>
        <v>0</v>
      </c>
      <c r="P248">
        <f>"Q"&amp;ROUNDUP(MONTH(B248)/3,0)</f>
        <v>0</v>
      </c>
      <c r="Q248">
        <f>IF(J248&gt;=4,"High",IF(J248&gt;=3,"Medium","Low"))</f>
        <v>0</v>
      </c>
      <c r="R248">
        <f>IF(K248&lt;=5,"On Time","Delayed")</f>
        <v>0</v>
      </c>
    </row>
    <row r="249" spans="1:18">
      <c r="A249">
        <f>RAW_DATA!A249</f>
        <v>0</v>
      </c>
      <c r="B249">
        <f>RAW_DATA!B249</f>
        <v>0</v>
      </c>
      <c r="C249">
        <f>RAW_DATA!C249</f>
        <v>0</v>
      </c>
      <c r="D249">
        <f>RAW_DATA!D249</f>
        <v>0</v>
      </c>
      <c r="E249">
        <f>RAW_DATA!E249</f>
        <v>0</v>
      </c>
      <c r="F249">
        <f>RAW_DATA!F249</f>
        <v>0</v>
      </c>
      <c r="G249">
        <f>RAW_DATA!G249</f>
        <v>0</v>
      </c>
      <c r="H249">
        <f>RAW_DATA!H249</f>
        <v>0</v>
      </c>
      <c r="I249">
        <f>RAW_DATA!I249</f>
        <v>0</v>
      </c>
      <c r="J249">
        <f>RAW_DATA!J249</f>
        <v>0</v>
      </c>
      <c r="K249">
        <f>RAW_DATA!K249</f>
        <v>0</v>
      </c>
      <c r="L249">
        <f>RAW_DATA!L249</f>
        <v>0</v>
      </c>
      <c r="M249">
        <f>H249*I249</f>
        <v>0</v>
      </c>
      <c r="N249">
        <f>ISOWEEKNUM(B249)</f>
        <v>0</v>
      </c>
      <c r="O249">
        <f>TEXT(B249,"mmm")</f>
        <v>0</v>
      </c>
      <c r="P249">
        <f>"Q"&amp;ROUNDUP(MONTH(B249)/3,0)</f>
        <v>0</v>
      </c>
      <c r="Q249">
        <f>IF(J249&gt;=4,"High",IF(J249&gt;=3,"Medium","Low"))</f>
        <v>0</v>
      </c>
      <c r="R249">
        <f>IF(K249&lt;=5,"On Time","Delayed")</f>
        <v>0</v>
      </c>
    </row>
    <row r="250" spans="1:18">
      <c r="A250">
        <f>RAW_DATA!A250</f>
        <v>0</v>
      </c>
      <c r="B250">
        <f>RAW_DATA!B250</f>
        <v>0</v>
      </c>
      <c r="C250">
        <f>RAW_DATA!C250</f>
        <v>0</v>
      </c>
      <c r="D250">
        <f>RAW_DATA!D250</f>
        <v>0</v>
      </c>
      <c r="E250">
        <f>RAW_DATA!E250</f>
        <v>0</v>
      </c>
      <c r="F250">
        <f>RAW_DATA!F250</f>
        <v>0</v>
      </c>
      <c r="G250">
        <f>RAW_DATA!G250</f>
        <v>0</v>
      </c>
      <c r="H250">
        <f>RAW_DATA!H250</f>
        <v>0</v>
      </c>
      <c r="I250">
        <f>RAW_DATA!I250</f>
        <v>0</v>
      </c>
      <c r="J250">
        <f>RAW_DATA!J250</f>
        <v>0</v>
      </c>
      <c r="K250">
        <f>RAW_DATA!K250</f>
        <v>0</v>
      </c>
      <c r="L250">
        <f>RAW_DATA!L250</f>
        <v>0</v>
      </c>
      <c r="M250">
        <f>H250*I250</f>
        <v>0</v>
      </c>
      <c r="N250">
        <f>ISOWEEKNUM(B250)</f>
        <v>0</v>
      </c>
      <c r="O250">
        <f>TEXT(B250,"mmm")</f>
        <v>0</v>
      </c>
      <c r="P250">
        <f>"Q"&amp;ROUNDUP(MONTH(B250)/3,0)</f>
        <v>0</v>
      </c>
      <c r="Q250">
        <f>IF(J250&gt;=4,"High",IF(J250&gt;=3,"Medium","Low"))</f>
        <v>0</v>
      </c>
      <c r="R250">
        <f>IF(K250&lt;=5,"On Time","Delayed")</f>
        <v>0</v>
      </c>
    </row>
    <row r="251" spans="1:18">
      <c r="A251">
        <f>RAW_DATA!A251</f>
        <v>0</v>
      </c>
      <c r="B251">
        <f>RAW_DATA!B251</f>
        <v>0</v>
      </c>
      <c r="C251">
        <f>RAW_DATA!C251</f>
        <v>0</v>
      </c>
      <c r="D251">
        <f>RAW_DATA!D251</f>
        <v>0</v>
      </c>
      <c r="E251">
        <f>RAW_DATA!E251</f>
        <v>0</v>
      </c>
      <c r="F251">
        <f>RAW_DATA!F251</f>
        <v>0</v>
      </c>
      <c r="G251">
        <f>RAW_DATA!G251</f>
        <v>0</v>
      </c>
      <c r="H251">
        <f>RAW_DATA!H251</f>
        <v>0</v>
      </c>
      <c r="I251">
        <f>RAW_DATA!I251</f>
        <v>0</v>
      </c>
      <c r="J251">
        <f>RAW_DATA!J251</f>
        <v>0</v>
      </c>
      <c r="K251">
        <f>RAW_DATA!K251</f>
        <v>0</v>
      </c>
      <c r="L251">
        <f>RAW_DATA!L251</f>
        <v>0</v>
      </c>
      <c r="M251">
        <f>H251*I251</f>
        <v>0</v>
      </c>
      <c r="N251">
        <f>ISOWEEKNUM(B251)</f>
        <v>0</v>
      </c>
      <c r="O251">
        <f>TEXT(B251,"mmm")</f>
        <v>0</v>
      </c>
      <c r="P251">
        <f>"Q"&amp;ROUNDUP(MONTH(B251)/3,0)</f>
        <v>0</v>
      </c>
      <c r="Q251">
        <f>IF(J251&gt;=4,"High",IF(J251&gt;=3,"Medium","Low"))</f>
        <v>0</v>
      </c>
      <c r="R251">
        <f>IF(K251&lt;=5,"On Time","Delayed")</f>
        <v>0</v>
      </c>
    </row>
    <row r="252" spans="1:18">
      <c r="A252">
        <f>RAW_DATA!A252</f>
        <v>0</v>
      </c>
      <c r="B252">
        <f>RAW_DATA!B252</f>
        <v>0</v>
      </c>
      <c r="C252">
        <f>RAW_DATA!C252</f>
        <v>0</v>
      </c>
      <c r="D252">
        <f>RAW_DATA!D252</f>
        <v>0</v>
      </c>
      <c r="E252">
        <f>RAW_DATA!E252</f>
        <v>0</v>
      </c>
      <c r="F252">
        <f>RAW_DATA!F252</f>
        <v>0</v>
      </c>
      <c r="G252">
        <f>RAW_DATA!G252</f>
        <v>0</v>
      </c>
      <c r="H252">
        <f>RAW_DATA!H252</f>
        <v>0</v>
      </c>
      <c r="I252">
        <f>RAW_DATA!I252</f>
        <v>0</v>
      </c>
      <c r="J252">
        <f>RAW_DATA!J252</f>
        <v>0</v>
      </c>
      <c r="K252">
        <f>RAW_DATA!K252</f>
        <v>0</v>
      </c>
      <c r="L252">
        <f>RAW_DATA!L252</f>
        <v>0</v>
      </c>
      <c r="M252">
        <f>H252*I252</f>
        <v>0</v>
      </c>
      <c r="N252">
        <f>ISOWEEKNUM(B252)</f>
        <v>0</v>
      </c>
      <c r="O252">
        <f>TEXT(B252,"mmm")</f>
        <v>0</v>
      </c>
      <c r="P252">
        <f>"Q"&amp;ROUNDUP(MONTH(B252)/3,0)</f>
        <v>0</v>
      </c>
      <c r="Q252">
        <f>IF(J252&gt;=4,"High",IF(J252&gt;=3,"Medium","Low"))</f>
        <v>0</v>
      </c>
      <c r="R252">
        <f>IF(K252&lt;=5,"On Time","Delayed")</f>
        <v>0</v>
      </c>
    </row>
    <row r="253" spans="1:18">
      <c r="A253">
        <f>RAW_DATA!A253</f>
        <v>0</v>
      </c>
      <c r="B253">
        <f>RAW_DATA!B253</f>
        <v>0</v>
      </c>
      <c r="C253">
        <f>RAW_DATA!C253</f>
        <v>0</v>
      </c>
      <c r="D253">
        <f>RAW_DATA!D253</f>
        <v>0</v>
      </c>
      <c r="E253">
        <f>RAW_DATA!E253</f>
        <v>0</v>
      </c>
      <c r="F253">
        <f>RAW_DATA!F253</f>
        <v>0</v>
      </c>
      <c r="G253">
        <f>RAW_DATA!G253</f>
        <v>0</v>
      </c>
      <c r="H253">
        <f>RAW_DATA!H253</f>
        <v>0</v>
      </c>
      <c r="I253">
        <f>RAW_DATA!I253</f>
        <v>0</v>
      </c>
      <c r="J253">
        <f>RAW_DATA!J253</f>
        <v>0</v>
      </c>
      <c r="K253">
        <f>RAW_DATA!K253</f>
        <v>0</v>
      </c>
      <c r="L253">
        <f>RAW_DATA!L253</f>
        <v>0</v>
      </c>
      <c r="M253">
        <f>H253*I253</f>
        <v>0</v>
      </c>
      <c r="N253">
        <f>ISOWEEKNUM(B253)</f>
        <v>0</v>
      </c>
      <c r="O253">
        <f>TEXT(B253,"mmm")</f>
        <v>0</v>
      </c>
      <c r="P253">
        <f>"Q"&amp;ROUNDUP(MONTH(B253)/3,0)</f>
        <v>0</v>
      </c>
      <c r="Q253">
        <f>IF(J253&gt;=4,"High",IF(J253&gt;=3,"Medium","Low"))</f>
        <v>0</v>
      </c>
      <c r="R253">
        <f>IF(K253&lt;=5,"On Time","Delayed")</f>
        <v>0</v>
      </c>
    </row>
    <row r="254" spans="1:18">
      <c r="A254">
        <f>RAW_DATA!A254</f>
        <v>0</v>
      </c>
      <c r="B254">
        <f>RAW_DATA!B254</f>
        <v>0</v>
      </c>
      <c r="C254">
        <f>RAW_DATA!C254</f>
        <v>0</v>
      </c>
      <c r="D254">
        <f>RAW_DATA!D254</f>
        <v>0</v>
      </c>
      <c r="E254">
        <f>RAW_DATA!E254</f>
        <v>0</v>
      </c>
      <c r="F254">
        <f>RAW_DATA!F254</f>
        <v>0</v>
      </c>
      <c r="G254">
        <f>RAW_DATA!G254</f>
        <v>0</v>
      </c>
      <c r="H254">
        <f>RAW_DATA!H254</f>
        <v>0</v>
      </c>
      <c r="I254">
        <f>RAW_DATA!I254</f>
        <v>0</v>
      </c>
      <c r="J254">
        <f>RAW_DATA!J254</f>
        <v>0</v>
      </c>
      <c r="K254">
        <f>RAW_DATA!K254</f>
        <v>0</v>
      </c>
      <c r="L254">
        <f>RAW_DATA!L254</f>
        <v>0</v>
      </c>
      <c r="M254">
        <f>H254*I254</f>
        <v>0</v>
      </c>
      <c r="N254">
        <f>ISOWEEKNUM(B254)</f>
        <v>0</v>
      </c>
      <c r="O254">
        <f>TEXT(B254,"mmm")</f>
        <v>0</v>
      </c>
      <c r="P254">
        <f>"Q"&amp;ROUNDUP(MONTH(B254)/3,0)</f>
        <v>0</v>
      </c>
      <c r="Q254">
        <f>IF(J254&gt;=4,"High",IF(J254&gt;=3,"Medium","Low"))</f>
        <v>0</v>
      </c>
      <c r="R254">
        <f>IF(K254&lt;=5,"On Time","Delayed")</f>
        <v>0</v>
      </c>
    </row>
    <row r="255" spans="1:18">
      <c r="A255">
        <f>RAW_DATA!A255</f>
        <v>0</v>
      </c>
      <c r="B255">
        <f>RAW_DATA!B255</f>
        <v>0</v>
      </c>
      <c r="C255">
        <f>RAW_DATA!C255</f>
        <v>0</v>
      </c>
      <c r="D255">
        <f>RAW_DATA!D255</f>
        <v>0</v>
      </c>
      <c r="E255">
        <f>RAW_DATA!E255</f>
        <v>0</v>
      </c>
      <c r="F255">
        <f>RAW_DATA!F255</f>
        <v>0</v>
      </c>
      <c r="G255">
        <f>RAW_DATA!G255</f>
        <v>0</v>
      </c>
      <c r="H255">
        <f>RAW_DATA!H255</f>
        <v>0</v>
      </c>
      <c r="I255">
        <f>RAW_DATA!I255</f>
        <v>0</v>
      </c>
      <c r="J255">
        <f>RAW_DATA!J255</f>
        <v>0</v>
      </c>
      <c r="K255">
        <f>RAW_DATA!K255</f>
        <v>0</v>
      </c>
      <c r="L255">
        <f>RAW_DATA!L255</f>
        <v>0</v>
      </c>
      <c r="M255">
        <f>H255*I255</f>
        <v>0</v>
      </c>
      <c r="N255">
        <f>ISOWEEKNUM(B255)</f>
        <v>0</v>
      </c>
      <c r="O255">
        <f>TEXT(B255,"mmm")</f>
        <v>0</v>
      </c>
      <c r="P255">
        <f>"Q"&amp;ROUNDUP(MONTH(B255)/3,0)</f>
        <v>0</v>
      </c>
      <c r="Q255">
        <f>IF(J255&gt;=4,"High",IF(J255&gt;=3,"Medium","Low"))</f>
        <v>0</v>
      </c>
      <c r="R255">
        <f>IF(K255&lt;=5,"On Time","Delayed")</f>
        <v>0</v>
      </c>
    </row>
    <row r="256" spans="1:18">
      <c r="A256">
        <f>RAW_DATA!A256</f>
        <v>0</v>
      </c>
      <c r="B256">
        <f>RAW_DATA!B256</f>
        <v>0</v>
      </c>
      <c r="C256">
        <f>RAW_DATA!C256</f>
        <v>0</v>
      </c>
      <c r="D256">
        <f>RAW_DATA!D256</f>
        <v>0</v>
      </c>
      <c r="E256">
        <f>RAW_DATA!E256</f>
        <v>0</v>
      </c>
      <c r="F256">
        <f>RAW_DATA!F256</f>
        <v>0</v>
      </c>
      <c r="G256">
        <f>RAW_DATA!G256</f>
        <v>0</v>
      </c>
      <c r="H256">
        <f>RAW_DATA!H256</f>
        <v>0</v>
      </c>
      <c r="I256">
        <f>RAW_DATA!I256</f>
        <v>0</v>
      </c>
      <c r="J256">
        <f>RAW_DATA!J256</f>
        <v>0</v>
      </c>
      <c r="K256">
        <f>RAW_DATA!K256</f>
        <v>0</v>
      </c>
      <c r="L256">
        <f>RAW_DATA!L256</f>
        <v>0</v>
      </c>
      <c r="M256">
        <f>H256*I256</f>
        <v>0</v>
      </c>
      <c r="N256">
        <f>ISOWEEKNUM(B256)</f>
        <v>0</v>
      </c>
      <c r="O256">
        <f>TEXT(B256,"mmm")</f>
        <v>0</v>
      </c>
      <c r="P256">
        <f>"Q"&amp;ROUNDUP(MONTH(B256)/3,0)</f>
        <v>0</v>
      </c>
      <c r="Q256">
        <f>IF(J256&gt;=4,"High",IF(J256&gt;=3,"Medium","Low"))</f>
        <v>0</v>
      </c>
      <c r="R256">
        <f>IF(K256&lt;=5,"On Time","Delayed")</f>
        <v>0</v>
      </c>
    </row>
    <row r="257" spans="1:18">
      <c r="A257">
        <f>RAW_DATA!A257</f>
        <v>0</v>
      </c>
      <c r="B257">
        <f>RAW_DATA!B257</f>
        <v>0</v>
      </c>
      <c r="C257">
        <f>RAW_DATA!C257</f>
        <v>0</v>
      </c>
      <c r="D257">
        <f>RAW_DATA!D257</f>
        <v>0</v>
      </c>
      <c r="E257">
        <f>RAW_DATA!E257</f>
        <v>0</v>
      </c>
      <c r="F257">
        <f>RAW_DATA!F257</f>
        <v>0</v>
      </c>
      <c r="G257">
        <f>RAW_DATA!G257</f>
        <v>0</v>
      </c>
      <c r="H257">
        <f>RAW_DATA!H257</f>
        <v>0</v>
      </c>
      <c r="I257">
        <f>RAW_DATA!I257</f>
        <v>0</v>
      </c>
      <c r="J257">
        <f>RAW_DATA!J257</f>
        <v>0</v>
      </c>
      <c r="K257">
        <f>RAW_DATA!K257</f>
        <v>0</v>
      </c>
      <c r="L257">
        <f>RAW_DATA!L257</f>
        <v>0</v>
      </c>
      <c r="M257">
        <f>H257*I257</f>
        <v>0</v>
      </c>
      <c r="N257">
        <f>ISOWEEKNUM(B257)</f>
        <v>0</v>
      </c>
      <c r="O257">
        <f>TEXT(B257,"mmm")</f>
        <v>0</v>
      </c>
      <c r="P257">
        <f>"Q"&amp;ROUNDUP(MONTH(B257)/3,0)</f>
        <v>0</v>
      </c>
      <c r="Q257">
        <f>IF(J257&gt;=4,"High",IF(J257&gt;=3,"Medium","Low"))</f>
        <v>0</v>
      </c>
      <c r="R257">
        <f>IF(K257&lt;=5,"On Time","Delayed")</f>
        <v>0</v>
      </c>
    </row>
    <row r="258" spans="1:18">
      <c r="A258">
        <f>RAW_DATA!A258</f>
        <v>0</v>
      </c>
      <c r="B258">
        <f>RAW_DATA!B258</f>
        <v>0</v>
      </c>
      <c r="C258">
        <f>RAW_DATA!C258</f>
        <v>0</v>
      </c>
      <c r="D258">
        <f>RAW_DATA!D258</f>
        <v>0</v>
      </c>
      <c r="E258">
        <f>RAW_DATA!E258</f>
        <v>0</v>
      </c>
      <c r="F258">
        <f>RAW_DATA!F258</f>
        <v>0</v>
      </c>
      <c r="G258">
        <f>RAW_DATA!G258</f>
        <v>0</v>
      </c>
      <c r="H258">
        <f>RAW_DATA!H258</f>
        <v>0</v>
      </c>
      <c r="I258">
        <f>RAW_DATA!I258</f>
        <v>0</v>
      </c>
      <c r="J258">
        <f>RAW_DATA!J258</f>
        <v>0</v>
      </c>
      <c r="K258">
        <f>RAW_DATA!K258</f>
        <v>0</v>
      </c>
      <c r="L258">
        <f>RAW_DATA!L258</f>
        <v>0</v>
      </c>
      <c r="M258">
        <f>H258*I258</f>
        <v>0</v>
      </c>
      <c r="N258">
        <f>ISOWEEKNUM(B258)</f>
        <v>0</v>
      </c>
      <c r="O258">
        <f>TEXT(B258,"mmm")</f>
        <v>0</v>
      </c>
      <c r="P258">
        <f>"Q"&amp;ROUNDUP(MONTH(B258)/3,0)</f>
        <v>0</v>
      </c>
      <c r="Q258">
        <f>IF(J258&gt;=4,"High",IF(J258&gt;=3,"Medium","Low"))</f>
        <v>0</v>
      </c>
      <c r="R258">
        <f>IF(K258&lt;=5,"On Time","Delayed")</f>
        <v>0</v>
      </c>
    </row>
    <row r="259" spans="1:18">
      <c r="A259">
        <f>RAW_DATA!A259</f>
        <v>0</v>
      </c>
      <c r="B259">
        <f>RAW_DATA!B259</f>
        <v>0</v>
      </c>
      <c r="C259">
        <f>RAW_DATA!C259</f>
        <v>0</v>
      </c>
      <c r="D259">
        <f>RAW_DATA!D259</f>
        <v>0</v>
      </c>
      <c r="E259">
        <f>RAW_DATA!E259</f>
        <v>0</v>
      </c>
      <c r="F259">
        <f>RAW_DATA!F259</f>
        <v>0</v>
      </c>
      <c r="G259">
        <f>RAW_DATA!G259</f>
        <v>0</v>
      </c>
      <c r="H259">
        <f>RAW_DATA!H259</f>
        <v>0</v>
      </c>
      <c r="I259">
        <f>RAW_DATA!I259</f>
        <v>0</v>
      </c>
      <c r="J259">
        <f>RAW_DATA!J259</f>
        <v>0</v>
      </c>
      <c r="K259">
        <f>RAW_DATA!K259</f>
        <v>0</v>
      </c>
      <c r="L259">
        <f>RAW_DATA!L259</f>
        <v>0</v>
      </c>
      <c r="M259">
        <f>H259*I259</f>
        <v>0</v>
      </c>
      <c r="N259">
        <f>ISOWEEKNUM(B259)</f>
        <v>0</v>
      </c>
      <c r="O259">
        <f>TEXT(B259,"mmm")</f>
        <v>0</v>
      </c>
      <c r="P259">
        <f>"Q"&amp;ROUNDUP(MONTH(B259)/3,0)</f>
        <v>0</v>
      </c>
      <c r="Q259">
        <f>IF(J259&gt;=4,"High",IF(J259&gt;=3,"Medium","Low"))</f>
        <v>0</v>
      </c>
      <c r="R259">
        <f>IF(K259&lt;=5,"On Time","Delayed")</f>
        <v>0</v>
      </c>
    </row>
    <row r="260" spans="1:18">
      <c r="A260">
        <f>RAW_DATA!A260</f>
        <v>0</v>
      </c>
      <c r="B260">
        <f>RAW_DATA!B260</f>
        <v>0</v>
      </c>
      <c r="C260">
        <f>RAW_DATA!C260</f>
        <v>0</v>
      </c>
      <c r="D260">
        <f>RAW_DATA!D260</f>
        <v>0</v>
      </c>
      <c r="E260">
        <f>RAW_DATA!E260</f>
        <v>0</v>
      </c>
      <c r="F260">
        <f>RAW_DATA!F260</f>
        <v>0</v>
      </c>
      <c r="G260">
        <f>RAW_DATA!G260</f>
        <v>0</v>
      </c>
      <c r="H260">
        <f>RAW_DATA!H260</f>
        <v>0</v>
      </c>
      <c r="I260">
        <f>RAW_DATA!I260</f>
        <v>0</v>
      </c>
      <c r="J260">
        <f>RAW_DATA!J260</f>
        <v>0</v>
      </c>
      <c r="K260">
        <f>RAW_DATA!K260</f>
        <v>0</v>
      </c>
      <c r="L260">
        <f>RAW_DATA!L260</f>
        <v>0</v>
      </c>
      <c r="M260">
        <f>H260*I260</f>
        <v>0</v>
      </c>
      <c r="N260">
        <f>ISOWEEKNUM(B260)</f>
        <v>0</v>
      </c>
      <c r="O260">
        <f>TEXT(B260,"mmm")</f>
        <v>0</v>
      </c>
      <c r="P260">
        <f>"Q"&amp;ROUNDUP(MONTH(B260)/3,0)</f>
        <v>0</v>
      </c>
      <c r="Q260">
        <f>IF(J260&gt;=4,"High",IF(J260&gt;=3,"Medium","Low"))</f>
        <v>0</v>
      </c>
      <c r="R260">
        <f>IF(K260&lt;=5,"On Time","Delayed")</f>
        <v>0</v>
      </c>
    </row>
    <row r="261" spans="1:18">
      <c r="A261">
        <f>RAW_DATA!A261</f>
        <v>0</v>
      </c>
      <c r="B261">
        <f>RAW_DATA!B261</f>
        <v>0</v>
      </c>
      <c r="C261">
        <f>RAW_DATA!C261</f>
        <v>0</v>
      </c>
      <c r="D261">
        <f>RAW_DATA!D261</f>
        <v>0</v>
      </c>
      <c r="E261">
        <f>RAW_DATA!E261</f>
        <v>0</v>
      </c>
      <c r="F261">
        <f>RAW_DATA!F261</f>
        <v>0</v>
      </c>
      <c r="G261">
        <f>RAW_DATA!G261</f>
        <v>0</v>
      </c>
      <c r="H261">
        <f>RAW_DATA!H261</f>
        <v>0</v>
      </c>
      <c r="I261">
        <f>RAW_DATA!I261</f>
        <v>0</v>
      </c>
      <c r="J261">
        <f>RAW_DATA!J261</f>
        <v>0</v>
      </c>
      <c r="K261">
        <f>RAW_DATA!K261</f>
        <v>0</v>
      </c>
      <c r="L261">
        <f>RAW_DATA!L261</f>
        <v>0</v>
      </c>
      <c r="M261">
        <f>H261*I261</f>
        <v>0</v>
      </c>
      <c r="N261">
        <f>ISOWEEKNUM(B261)</f>
        <v>0</v>
      </c>
      <c r="O261">
        <f>TEXT(B261,"mmm")</f>
        <v>0</v>
      </c>
      <c r="P261">
        <f>"Q"&amp;ROUNDUP(MONTH(B261)/3,0)</f>
        <v>0</v>
      </c>
      <c r="Q261">
        <f>IF(J261&gt;=4,"High",IF(J261&gt;=3,"Medium","Low"))</f>
        <v>0</v>
      </c>
      <c r="R261">
        <f>IF(K261&lt;=5,"On Time","Delayed")</f>
        <v>0</v>
      </c>
    </row>
    <row r="262" spans="1:18">
      <c r="A262">
        <f>RAW_DATA!A262</f>
        <v>0</v>
      </c>
      <c r="B262">
        <f>RAW_DATA!B262</f>
        <v>0</v>
      </c>
      <c r="C262">
        <f>RAW_DATA!C262</f>
        <v>0</v>
      </c>
      <c r="D262">
        <f>RAW_DATA!D262</f>
        <v>0</v>
      </c>
      <c r="E262">
        <f>RAW_DATA!E262</f>
        <v>0</v>
      </c>
      <c r="F262">
        <f>RAW_DATA!F262</f>
        <v>0</v>
      </c>
      <c r="G262">
        <f>RAW_DATA!G262</f>
        <v>0</v>
      </c>
      <c r="H262">
        <f>RAW_DATA!H262</f>
        <v>0</v>
      </c>
      <c r="I262">
        <f>RAW_DATA!I262</f>
        <v>0</v>
      </c>
      <c r="J262">
        <f>RAW_DATA!J262</f>
        <v>0</v>
      </c>
      <c r="K262">
        <f>RAW_DATA!K262</f>
        <v>0</v>
      </c>
      <c r="L262">
        <f>RAW_DATA!L262</f>
        <v>0</v>
      </c>
      <c r="M262">
        <f>H262*I262</f>
        <v>0</v>
      </c>
      <c r="N262">
        <f>ISOWEEKNUM(B262)</f>
        <v>0</v>
      </c>
      <c r="O262">
        <f>TEXT(B262,"mmm")</f>
        <v>0</v>
      </c>
      <c r="P262">
        <f>"Q"&amp;ROUNDUP(MONTH(B262)/3,0)</f>
        <v>0</v>
      </c>
      <c r="Q262">
        <f>IF(J262&gt;=4,"High",IF(J262&gt;=3,"Medium","Low"))</f>
        <v>0</v>
      </c>
      <c r="R262">
        <f>IF(K262&lt;=5,"On Time","Delayed")</f>
        <v>0</v>
      </c>
    </row>
    <row r="263" spans="1:18">
      <c r="A263">
        <f>RAW_DATA!A263</f>
        <v>0</v>
      </c>
      <c r="B263">
        <f>RAW_DATA!B263</f>
        <v>0</v>
      </c>
      <c r="C263">
        <f>RAW_DATA!C263</f>
        <v>0</v>
      </c>
      <c r="D263">
        <f>RAW_DATA!D263</f>
        <v>0</v>
      </c>
      <c r="E263">
        <f>RAW_DATA!E263</f>
        <v>0</v>
      </c>
      <c r="F263">
        <f>RAW_DATA!F263</f>
        <v>0</v>
      </c>
      <c r="G263">
        <f>RAW_DATA!G263</f>
        <v>0</v>
      </c>
      <c r="H263">
        <f>RAW_DATA!H263</f>
        <v>0</v>
      </c>
      <c r="I263">
        <f>RAW_DATA!I263</f>
        <v>0</v>
      </c>
      <c r="J263">
        <f>RAW_DATA!J263</f>
        <v>0</v>
      </c>
      <c r="K263">
        <f>RAW_DATA!K263</f>
        <v>0</v>
      </c>
      <c r="L263">
        <f>RAW_DATA!L263</f>
        <v>0</v>
      </c>
      <c r="M263">
        <f>H263*I263</f>
        <v>0</v>
      </c>
      <c r="N263">
        <f>ISOWEEKNUM(B263)</f>
        <v>0</v>
      </c>
      <c r="O263">
        <f>TEXT(B263,"mmm")</f>
        <v>0</v>
      </c>
      <c r="P263">
        <f>"Q"&amp;ROUNDUP(MONTH(B263)/3,0)</f>
        <v>0</v>
      </c>
      <c r="Q263">
        <f>IF(J263&gt;=4,"High",IF(J263&gt;=3,"Medium","Low"))</f>
        <v>0</v>
      </c>
      <c r="R263">
        <f>IF(K263&lt;=5,"On Time","Delayed")</f>
        <v>0</v>
      </c>
    </row>
    <row r="264" spans="1:18">
      <c r="A264">
        <f>RAW_DATA!A264</f>
        <v>0</v>
      </c>
      <c r="B264">
        <f>RAW_DATA!B264</f>
        <v>0</v>
      </c>
      <c r="C264">
        <f>RAW_DATA!C264</f>
        <v>0</v>
      </c>
      <c r="D264">
        <f>RAW_DATA!D264</f>
        <v>0</v>
      </c>
      <c r="E264">
        <f>RAW_DATA!E264</f>
        <v>0</v>
      </c>
      <c r="F264">
        <f>RAW_DATA!F264</f>
        <v>0</v>
      </c>
      <c r="G264">
        <f>RAW_DATA!G264</f>
        <v>0</v>
      </c>
      <c r="H264">
        <f>RAW_DATA!H264</f>
        <v>0</v>
      </c>
      <c r="I264">
        <f>RAW_DATA!I264</f>
        <v>0</v>
      </c>
      <c r="J264">
        <f>RAW_DATA!J264</f>
        <v>0</v>
      </c>
      <c r="K264">
        <f>RAW_DATA!K264</f>
        <v>0</v>
      </c>
      <c r="L264">
        <f>RAW_DATA!L264</f>
        <v>0</v>
      </c>
      <c r="M264">
        <f>H264*I264</f>
        <v>0</v>
      </c>
      <c r="N264">
        <f>ISOWEEKNUM(B264)</f>
        <v>0</v>
      </c>
      <c r="O264">
        <f>TEXT(B264,"mmm")</f>
        <v>0</v>
      </c>
      <c r="P264">
        <f>"Q"&amp;ROUNDUP(MONTH(B264)/3,0)</f>
        <v>0</v>
      </c>
      <c r="Q264">
        <f>IF(J264&gt;=4,"High",IF(J264&gt;=3,"Medium","Low"))</f>
        <v>0</v>
      </c>
      <c r="R264">
        <f>IF(K264&lt;=5,"On Time","Delayed")</f>
        <v>0</v>
      </c>
    </row>
    <row r="265" spans="1:18">
      <c r="A265">
        <f>RAW_DATA!A265</f>
        <v>0</v>
      </c>
      <c r="B265">
        <f>RAW_DATA!B265</f>
        <v>0</v>
      </c>
      <c r="C265">
        <f>RAW_DATA!C265</f>
        <v>0</v>
      </c>
      <c r="D265">
        <f>RAW_DATA!D265</f>
        <v>0</v>
      </c>
      <c r="E265">
        <f>RAW_DATA!E265</f>
        <v>0</v>
      </c>
      <c r="F265">
        <f>RAW_DATA!F265</f>
        <v>0</v>
      </c>
      <c r="G265">
        <f>RAW_DATA!G265</f>
        <v>0</v>
      </c>
      <c r="H265">
        <f>RAW_DATA!H265</f>
        <v>0</v>
      </c>
      <c r="I265">
        <f>RAW_DATA!I265</f>
        <v>0</v>
      </c>
      <c r="J265">
        <f>RAW_DATA!J265</f>
        <v>0</v>
      </c>
      <c r="K265">
        <f>RAW_DATA!K265</f>
        <v>0</v>
      </c>
      <c r="L265">
        <f>RAW_DATA!L265</f>
        <v>0</v>
      </c>
      <c r="M265">
        <f>H265*I265</f>
        <v>0</v>
      </c>
      <c r="N265">
        <f>ISOWEEKNUM(B265)</f>
        <v>0</v>
      </c>
      <c r="O265">
        <f>TEXT(B265,"mmm")</f>
        <v>0</v>
      </c>
      <c r="P265">
        <f>"Q"&amp;ROUNDUP(MONTH(B265)/3,0)</f>
        <v>0</v>
      </c>
      <c r="Q265">
        <f>IF(J265&gt;=4,"High",IF(J265&gt;=3,"Medium","Low"))</f>
        <v>0</v>
      </c>
      <c r="R265">
        <f>IF(K265&lt;=5,"On Time","Delayed")</f>
        <v>0</v>
      </c>
    </row>
    <row r="266" spans="1:18">
      <c r="A266">
        <f>RAW_DATA!A266</f>
        <v>0</v>
      </c>
      <c r="B266">
        <f>RAW_DATA!B266</f>
        <v>0</v>
      </c>
      <c r="C266">
        <f>RAW_DATA!C266</f>
        <v>0</v>
      </c>
      <c r="D266">
        <f>RAW_DATA!D266</f>
        <v>0</v>
      </c>
      <c r="E266">
        <f>RAW_DATA!E266</f>
        <v>0</v>
      </c>
      <c r="F266">
        <f>RAW_DATA!F266</f>
        <v>0</v>
      </c>
      <c r="G266">
        <f>RAW_DATA!G266</f>
        <v>0</v>
      </c>
      <c r="H266">
        <f>RAW_DATA!H266</f>
        <v>0</v>
      </c>
      <c r="I266">
        <f>RAW_DATA!I266</f>
        <v>0</v>
      </c>
      <c r="J266">
        <f>RAW_DATA!J266</f>
        <v>0</v>
      </c>
      <c r="K266">
        <f>RAW_DATA!K266</f>
        <v>0</v>
      </c>
      <c r="L266">
        <f>RAW_DATA!L266</f>
        <v>0</v>
      </c>
      <c r="M266">
        <f>H266*I266</f>
        <v>0</v>
      </c>
      <c r="N266">
        <f>ISOWEEKNUM(B266)</f>
        <v>0</v>
      </c>
      <c r="O266">
        <f>TEXT(B266,"mmm")</f>
        <v>0</v>
      </c>
      <c r="P266">
        <f>"Q"&amp;ROUNDUP(MONTH(B266)/3,0)</f>
        <v>0</v>
      </c>
      <c r="Q266">
        <f>IF(J266&gt;=4,"High",IF(J266&gt;=3,"Medium","Low"))</f>
        <v>0</v>
      </c>
      <c r="R266">
        <f>IF(K266&lt;=5,"On Time","Delayed")</f>
        <v>0</v>
      </c>
    </row>
    <row r="267" spans="1:18">
      <c r="A267">
        <f>RAW_DATA!A267</f>
        <v>0</v>
      </c>
      <c r="B267">
        <f>RAW_DATA!B267</f>
        <v>0</v>
      </c>
      <c r="C267">
        <f>RAW_DATA!C267</f>
        <v>0</v>
      </c>
      <c r="D267">
        <f>RAW_DATA!D267</f>
        <v>0</v>
      </c>
      <c r="E267">
        <f>RAW_DATA!E267</f>
        <v>0</v>
      </c>
      <c r="F267">
        <f>RAW_DATA!F267</f>
        <v>0</v>
      </c>
      <c r="G267">
        <f>RAW_DATA!G267</f>
        <v>0</v>
      </c>
      <c r="H267">
        <f>RAW_DATA!H267</f>
        <v>0</v>
      </c>
      <c r="I267">
        <f>RAW_DATA!I267</f>
        <v>0</v>
      </c>
      <c r="J267">
        <f>RAW_DATA!J267</f>
        <v>0</v>
      </c>
      <c r="K267">
        <f>RAW_DATA!K267</f>
        <v>0</v>
      </c>
      <c r="L267">
        <f>RAW_DATA!L267</f>
        <v>0</v>
      </c>
      <c r="M267">
        <f>H267*I267</f>
        <v>0</v>
      </c>
      <c r="N267">
        <f>ISOWEEKNUM(B267)</f>
        <v>0</v>
      </c>
      <c r="O267">
        <f>TEXT(B267,"mmm")</f>
        <v>0</v>
      </c>
      <c r="P267">
        <f>"Q"&amp;ROUNDUP(MONTH(B267)/3,0)</f>
        <v>0</v>
      </c>
      <c r="Q267">
        <f>IF(J267&gt;=4,"High",IF(J267&gt;=3,"Medium","Low"))</f>
        <v>0</v>
      </c>
      <c r="R267">
        <f>IF(K267&lt;=5,"On Time","Delayed")</f>
        <v>0</v>
      </c>
    </row>
    <row r="268" spans="1:18">
      <c r="A268">
        <f>RAW_DATA!A268</f>
        <v>0</v>
      </c>
      <c r="B268">
        <f>RAW_DATA!B268</f>
        <v>0</v>
      </c>
      <c r="C268">
        <f>RAW_DATA!C268</f>
        <v>0</v>
      </c>
      <c r="D268">
        <f>RAW_DATA!D268</f>
        <v>0</v>
      </c>
      <c r="E268">
        <f>RAW_DATA!E268</f>
        <v>0</v>
      </c>
      <c r="F268">
        <f>RAW_DATA!F268</f>
        <v>0</v>
      </c>
      <c r="G268">
        <f>RAW_DATA!G268</f>
        <v>0</v>
      </c>
      <c r="H268">
        <f>RAW_DATA!H268</f>
        <v>0</v>
      </c>
      <c r="I268">
        <f>RAW_DATA!I268</f>
        <v>0</v>
      </c>
      <c r="J268">
        <f>RAW_DATA!J268</f>
        <v>0</v>
      </c>
      <c r="K268">
        <f>RAW_DATA!K268</f>
        <v>0</v>
      </c>
      <c r="L268">
        <f>RAW_DATA!L268</f>
        <v>0</v>
      </c>
      <c r="M268">
        <f>H268*I268</f>
        <v>0</v>
      </c>
      <c r="N268">
        <f>ISOWEEKNUM(B268)</f>
        <v>0</v>
      </c>
      <c r="O268">
        <f>TEXT(B268,"mmm")</f>
        <v>0</v>
      </c>
      <c r="P268">
        <f>"Q"&amp;ROUNDUP(MONTH(B268)/3,0)</f>
        <v>0</v>
      </c>
      <c r="Q268">
        <f>IF(J268&gt;=4,"High",IF(J268&gt;=3,"Medium","Low"))</f>
        <v>0</v>
      </c>
      <c r="R268">
        <f>IF(K268&lt;=5,"On Time","Delayed")</f>
        <v>0</v>
      </c>
    </row>
    <row r="269" spans="1:18">
      <c r="A269">
        <f>RAW_DATA!A269</f>
        <v>0</v>
      </c>
      <c r="B269">
        <f>RAW_DATA!B269</f>
        <v>0</v>
      </c>
      <c r="C269">
        <f>RAW_DATA!C269</f>
        <v>0</v>
      </c>
      <c r="D269">
        <f>RAW_DATA!D269</f>
        <v>0</v>
      </c>
      <c r="E269">
        <f>RAW_DATA!E269</f>
        <v>0</v>
      </c>
      <c r="F269">
        <f>RAW_DATA!F269</f>
        <v>0</v>
      </c>
      <c r="G269">
        <f>RAW_DATA!G269</f>
        <v>0</v>
      </c>
      <c r="H269">
        <f>RAW_DATA!H269</f>
        <v>0</v>
      </c>
      <c r="I269">
        <f>RAW_DATA!I269</f>
        <v>0</v>
      </c>
      <c r="J269">
        <f>RAW_DATA!J269</f>
        <v>0</v>
      </c>
      <c r="K269">
        <f>RAW_DATA!K269</f>
        <v>0</v>
      </c>
      <c r="L269">
        <f>RAW_DATA!L269</f>
        <v>0</v>
      </c>
      <c r="M269">
        <f>H269*I269</f>
        <v>0</v>
      </c>
      <c r="N269">
        <f>ISOWEEKNUM(B269)</f>
        <v>0</v>
      </c>
      <c r="O269">
        <f>TEXT(B269,"mmm")</f>
        <v>0</v>
      </c>
      <c r="P269">
        <f>"Q"&amp;ROUNDUP(MONTH(B269)/3,0)</f>
        <v>0</v>
      </c>
      <c r="Q269">
        <f>IF(J269&gt;=4,"High",IF(J269&gt;=3,"Medium","Low"))</f>
        <v>0</v>
      </c>
      <c r="R269">
        <f>IF(K269&lt;=5,"On Time","Delayed")</f>
        <v>0</v>
      </c>
    </row>
    <row r="270" spans="1:18">
      <c r="A270">
        <f>RAW_DATA!A270</f>
        <v>0</v>
      </c>
      <c r="B270">
        <f>RAW_DATA!B270</f>
        <v>0</v>
      </c>
      <c r="C270">
        <f>RAW_DATA!C270</f>
        <v>0</v>
      </c>
      <c r="D270">
        <f>RAW_DATA!D270</f>
        <v>0</v>
      </c>
      <c r="E270">
        <f>RAW_DATA!E270</f>
        <v>0</v>
      </c>
      <c r="F270">
        <f>RAW_DATA!F270</f>
        <v>0</v>
      </c>
      <c r="G270">
        <f>RAW_DATA!G270</f>
        <v>0</v>
      </c>
      <c r="H270">
        <f>RAW_DATA!H270</f>
        <v>0</v>
      </c>
      <c r="I270">
        <f>RAW_DATA!I270</f>
        <v>0</v>
      </c>
      <c r="J270">
        <f>RAW_DATA!J270</f>
        <v>0</v>
      </c>
      <c r="K270">
        <f>RAW_DATA!K270</f>
        <v>0</v>
      </c>
      <c r="L270">
        <f>RAW_DATA!L270</f>
        <v>0</v>
      </c>
      <c r="M270">
        <f>H270*I270</f>
        <v>0</v>
      </c>
      <c r="N270">
        <f>ISOWEEKNUM(B270)</f>
        <v>0</v>
      </c>
      <c r="O270">
        <f>TEXT(B270,"mmm")</f>
        <v>0</v>
      </c>
      <c r="P270">
        <f>"Q"&amp;ROUNDUP(MONTH(B270)/3,0)</f>
        <v>0</v>
      </c>
      <c r="Q270">
        <f>IF(J270&gt;=4,"High",IF(J270&gt;=3,"Medium","Low"))</f>
        <v>0</v>
      </c>
      <c r="R270">
        <f>IF(K270&lt;=5,"On Time","Delayed")</f>
        <v>0</v>
      </c>
    </row>
    <row r="271" spans="1:18">
      <c r="A271">
        <f>RAW_DATA!A271</f>
        <v>0</v>
      </c>
      <c r="B271">
        <f>RAW_DATA!B271</f>
        <v>0</v>
      </c>
      <c r="C271">
        <f>RAW_DATA!C271</f>
        <v>0</v>
      </c>
      <c r="D271">
        <f>RAW_DATA!D271</f>
        <v>0</v>
      </c>
      <c r="E271">
        <f>RAW_DATA!E271</f>
        <v>0</v>
      </c>
      <c r="F271">
        <f>RAW_DATA!F271</f>
        <v>0</v>
      </c>
      <c r="G271">
        <f>RAW_DATA!G271</f>
        <v>0</v>
      </c>
      <c r="H271">
        <f>RAW_DATA!H271</f>
        <v>0</v>
      </c>
      <c r="I271">
        <f>RAW_DATA!I271</f>
        <v>0</v>
      </c>
      <c r="J271">
        <f>RAW_DATA!J271</f>
        <v>0</v>
      </c>
      <c r="K271">
        <f>RAW_DATA!K271</f>
        <v>0</v>
      </c>
      <c r="L271">
        <f>RAW_DATA!L271</f>
        <v>0</v>
      </c>
      <c r="M271">
        <f>H271*I271</f>
        <v>0</v>
      </c>
      <c r="N271">
        <f>ISOWEEKNUM(B271)</f>
        <v>0</v>
      </c>
      <c r="O271">
        <f>TEXT(B271,"mmm")</f>
        <v>0</v>
      </c>
      <c r="P271">
        <f>"Q"&amp;ROUNDUP(MONTH(B271)/3,0)</f>
        <v>0</v>
      </c>
      <c r="Q271">
        <f>IF(J271&gt;=4,"High",IF(J271&gt;=3,"Medium","Low"))</f>
        <v>0</v>
      </c>
      <c r="R271">
        <f>IF(K271&lt;=5,"On Time","Delayed")</f>
        <v>0</v>
      </c>
    </row>
    <row r="272" spans="1:18">
      <c r="A272">
        <f>RAW_DATA!A272</f>
        <v>0</v>
      </c>
      <c r="B272">
        <f>RAW_DATA!B272</f>
        <v>0</v>
      </c>
      <c r="C272">
        <f>RAW_DATA!C272</f>
        <v>0</v>
      </c>
      <c r="D272">
        <f>RAW_DATA!D272</f>
        <v>0</v>
      </c>
      <c r="E272">
        <f>RAW_DATA!E272</f>
        <v>0</v>
      </c>
      <c r="F272">
        <f>RAW_DATA!F272</f>
        <v>0</v>
      </c>
      <c r="G272">
        <f>RAW_DATA!G272</f>
        <v>0</v>
      </c>
      <c r="H272">
        <f>RAW_DATA!H272</f>
        <v>0</v>
      </c>
      <c r="I272">
        <f>RAW_DATA!I272</f>
        <v>0</v>
      </c>
      <c r="J272">
        <f>RAW_DATA!J272</f>
        <v>0</v>
      </c>
      <c r="K272">
        <f>RAW_DATA!K272</f>
        <v>0</v>
      </c>
      <c r="L272">
        <f>RAW_DATA!L272</f>
        <v>0</v>
      </c>
      <c r="M272">
        <f>H272*I272</f>
        <v>0</v>
      </c>
      <c r="N272">
        <f>ISOWEEKNUM(B272)</f>
        <v>0</v>
      </c>
      <c r="O272">
        <f>TEXT(B272,"mmm")</f>
        <v>0</v>
      </c>
      <c r="P272">
        <f>"Q"&amp;ROUNDUP(MONTH(B272)/3,0)</f>
        <v>0</v>
      </c>
      <c r="Q272">
        <f>IF(J272&gt;=4,"High",IF(J272&gt;=3,"Medium","Low"))</f>
        <v>0</v>
      </c>
      <c r="R272">
        <f>IF(K272&lt;=5,"On Time","Delayed")</f>
        <v>0</v>
      </c>
    </row>
    <row r="273" spans="1:18">
      <c r="A273">
        <f>RAW_DATA!A273</f>
        <v>0</v>
      </c>
      <c r="B273">
        <f>RAW_DATA!B273</f>
        <v>0</v>
      </c>
      <c r="C273">
        <f>RAW_DATA!C273</f>
        <v>0</v>
      </c>
      <c r="D273">
        <f>RAW_DATA!D273</f>
        <v>0</v>
      </c>
      <c r="E273">
        <f>RAW_DATA!E273</f>
        <v>0</v>
      </c>
      <c r="F273">
        <f>RAW_DATA!F273</f>
        <v>0</v>
      </c>
      <c r="G273">
        <f>RAW_DATA!G273</f>
        <v>0</v>
      </c>
      <c r="H273">
        <f>RAW_DATA!H273</f>
        <v>0</v>
      </c>
      <c r="I273">
        <f>RAW_DATA!I273</f>
        <v>0</v>
      </c>
      <c r="J273">
        <f>RAW_DATA!J273</f>
        <v>0</v>
      </c>
      <c r="K273">
        <f>RAW_DATA!K273</f>
        <v>0</v>
      </c>
      <c r="L273">
        <f>RAW_DATA!L273</f>
        <v>0</v>
      </c>
      <c r="M273">
        <f>H273*I273</f>
        <v>0</v>
      </c>
      <c r="N273">
        <f>ISOWEEKNUM(B273)</f>
        <v>0</v>
      </c>
      <c r="O273">
        <f>TEXT(B273,"mmm")</f>
        <v>0</v>
      </c>
      <c r="P273">
        <f>"Q"&amp;ROUNDUP(MONTH(B273)/3,0)</f>
        <v>0</v>
      </c>
      <c r="Q273">
        <f>IF(J273&gt;=4,"High",IF(J273&gt;=3,"Medium","Low"))</f>
        <v>0</v>
      </c>
      <c r="R273">
        <f>IF(K273&lt;=5,"On Time","Delayed")</f>
        <v>0</v>
      </c>
    </row>
    <row r="274" spans="1:18">
      <c r="A274">
        <f>RAW_DATA!A274</f>
        <v>0</v>
      </c>
      <c r="B274">
        <f>RAW_DATA!B274</f>
        <v>0</v>
      </c>
      <c r="C274">
        <f>RAW_DATA!C274</f>
        <v>0</v>
      </c>
      <c r="D274">
        <f>RAW_DATA!D274</f>
        <v>0</v>
      </c>
      <c r="E274">
        <f>RAW_DATA!E274</f>
        <v>0</v>
      </c>
      <c r="F274">
        <f>RAW_DATA!F274</f>
        <v>0</v>
      </c>
      <c r="G274">
        <f>RAW_DATA!G274</f>
        <v>0</v>
      </c>
      <c r="H274">
        <f>RAW_DATA!H274</f>
        <v>0</v>
      </c>
      <c r="I274">
        <f>RAW_DATA!I274</f>
        <v>0</v>
      </c>
      <c r="J274">
        <f>RAW_DATA!J274</f>
        <v>0</v>
      </c>
      <c r="K274">
        <f>RAW_DATA!K274</f>
        <v>0</v>
      </c>
      <c r="L274">
        <f>RAW_DATA!L274</f>
        <v>0</v>
      </c>
      <c r="M274">
        <f>H274*I274</f>
        <v>0</v>
      </c>
      <c r="N274">
        <f>ISOWEEKNUM(B274)</f>
        <v>0</v>
      </c>
      <c r="O274">
        <f>TEXT(B274,"mmm")</f>
        <v>0</v>
      </c>
      <c r="P274">
        <f>"Q"&amp;ROUNDUP(MONTH(B274)/3,0)</f>
        <v>0</v>
      </c>
      <c r="Q274">
        <f>IF(J274&gt;=4,"High",IF(J274&gt;=3,"Medium","Low"))</f>
        <v>0</v>
      </c>
      <c r="R274">
        <f>IF(K274&lt;=5,"On Time","Delayed")</f>
        <v>0</v>
      </c>
    </row>
    <row r="275" spans="1:18">
      <c r="A275">
        <f>RAW_DATA!A275</f>
        <v>0</v>
      </c>
      <c r="B275">
        <f>RAW_DATA!B275</f>
        <v>0</v>
      </c>
      <c r="C275">
        <f>RAW_DATA!C275</f>
        <v>0</v>
      </c>
      <c r="D275">
        <f>RAW_DATA!D275</f>
        <v>0</v>
      </c>
      <c r="E275">
        <f>RAW_DATA!E275</f>
        <v>0</v>
      </c>
      <c r="F275">
        <f>RAW_DATA!F275</f>
        <v>0</v>
      </c>
      <c r="G275">
        <f>RAW_DATA!G275</f>
        <v>0</v>
      </c>
      <c r="H275">
        <f>RAW_DATA!H275</f>
        <v>0</v>
      </c>
      <c r="I275">
        <f>RAW_DATA!I275</f>
        <v>0</v>
      </c>
      <c r="J275">
        <f>RAW_DATA!J275</f>
        <v>0</v>
      </c>
      <c r="K275">
        <f>RAW_DATA!K275</f>
        <v>0</v>
      </c>
      <c r="L275">
        <f>RAW_DATA!L275</f>
        <v>0</v>
      </c>
      <c r="M275">
        <f>H275*I275</f>
        <v>0</v>
      </c>
      <c r="N275">
        <f>ISOWEEKNUM(B275)</f>
        <v>0</v>
      </c>
      <c r="O275">
        <f>TEXT(B275,"mmm")</f>
        <v>0</v>
      </c>
      <c r="P275">
        <f>"Q"&amp;ROUNDUP(MONTH(B275)/3,0)</f>
        <v>0</v>
      </c>
      <c r="Q275">
        <f>IF(J275&gt;=4,"High",IF(J275&gt;=3,"Medium","Low"))</f>
        <v>0</v>
      </c>
      <c r="R275">
        <f>IF(K275&lt;=5,"On Time","Delayed")</f>
        <v>0</v>
      </c>
    </row>
    <row r="276" spans="1:18">
      <c r="A276">
        <f>RAW_DATA!A276</f>
        <v>0</v>
      </c>
      <c r="B276">
        <f>RAW_DATA!B276</f>
        <v>0</v>
      </c>
      <c r="C276">
        <f>RAW_DATA!C276</f>
        <v>0</v>
      </c>
      <c r="D276">
        <f>RAW_DATA!D276</f>
        <v>0</v>
      </c>
      <c r="E276">
        <f>RAW_DATA!E276</f>
        <v>0</v>
      </c>
      <c r="F276">
        <f>RAW_DATA!F276</f>
        <v>0</v>
      </c>
      <c r="G276">
        <f>RAW_DATA!G276</f>
        <v>0</v>
      </c>
      <c r="H276">
        <f>RAW_DATA!H276</f>
        <v>0</v>
      </c>
      <c r="I276">
        <f>RAW_DATA!I276</f>
        <v>0</v>
      </c>
      <c r="J276">
        <f>RAW_DATA!J276</f>
        <v>0</v>
      </c>
      <c r="K276">
        <f>RAW_DATA!K276</f>
        <v>0</v>
      </c>
      <c r="L276">
        <f>RAW_DATA!L276</f>
        <v>0</v>
      </c>
      <c r="M276">
        <f>H276*I276</f>
        <v>0</v>
      </c>
      <c r="N276">
        <f>ISOWEEKNUM(B276)</f>
        <v>0</v>
      </c>
      <c r="O276">
        <f>TEXT(B276,"mmm")</f>
        <v>0</v>
      </c>
      <c r="P276">
        <f>"Q"&amp;ROUNDUP(MONTH(B276)/3,0)</f>
        <v>0</v>
      </c>
      <c r="Q276">
        <f>IF(J276&gt;=4,"High",IF(J276&gt;=3,"Medium","Low"))</f>
        <v>0</v>
      </c>
      <c r="R276">
        <f>IF(K276&lt;=5,"On Time","Delayed")</f>
        <v>0</v>
      </c>
    </row>
    <row r="277" spans="1:18">
      <c r="A277">
        <f>RAW_DATA!A277</f>
        <v>0</v>
      </c>
      <c r="B277">
        <f>RAW_DATA!B277</f>
        <v>0</v>
      </c>
      <c r="C277">
        <f>RAW_DATA!C277</f>
        <v>0</v>
      </c>
      <c r="D277">
        <f>RAW_DATA!D277</f>
        <v>0</v>
      </c>
      <c r="E277">
        <f>RAW_DATA!E277</f>
        <v>0</v>
      </c>
      <c r="F277">
        <f>RAW_DATA!F277</f>
        <v>0</v>
      </c>
      <c r="G277">
        <f>RAW_DATA!G277</f>
        <v>0</v>
      </c>
      <c r="H277">
        <f>RAW_DATA!H277</f>
        <v>0</v>
      </c>
      <c r="I277">
        <f>RAW_DATA!I277</f>
        <v>0</v>
      </c>
      <c r="J277">
        <f>RAW_DATA!J277</f>
        <v>0</v>
      </c>
      <c r="K277">
        <f>RAW_DATA!K277</f>
        <v>0</v>
      </c>
      <c r="L277">
        <f>RAW_DATA!L277</f>
        <v>0</v>
      </c>
      <c r="M277">
        <f>H277*I277</f>
        <v>0</v>
      </c>
      <c r="N277">
        <f>ISOWEEKNUM(B277)</f>
        <v>0</v>
      </c>
      <c r="O277">
        <f>TEXT(B277,"mmm")</f>
        <v>0</v>
      </c>
      <c r="P277">
        <f>"Q"&amp;ROUNDUP(MONTH(B277)/3,0)</f>
        <v>0</v>
      </c>
      <c r="Q277">
        <f>IF(J277&gt;=4,"High",IF(J277&gt;=3,"Medium","Low"))</f>
        <v>0</v>
      </c>
      <c r="R277">
        <f>IF(K277&lt;=5,"On Time","Delayed")</f>
        <v>0</v>
      </c>
    </row>
    <row r="278" spans="1:18">
      <c r="A278">
        <f>RAW_DATA!A278</f>
        <v>0</v>
      </c>
      <c r="B278">
        <f>RAW_DATA!B278</f>
        <v>0</v>
      </c>
      <c r="C278">
        <f>RAW_DATA!C278</f>
        <v>0</v>
      </c>
      <c r="D278">
        <f>RAW_DATA!D278</f>
        <v>0</v>
      </c>
      <c r="E278">
        <f>RAW_DATA!E278</f>
        <v>0</v>
      </c>
      <c r="F278">
        <f>RAW_DATA!F278</f>
        <v>0</v>
      </c>
      <c r="G278">
        <f>RAW_DATA!G278</f>
        <v>0</v>
      </c>
      <c r="H278">
        <f>RAW_DATA!H278</f>
        <v>0</v>
      </c>
      <c r="I278">
        <f>RAW_DATA!I278</f>
        <v>0</v>
      </c>
      <c r="J278">
        <f>RAW_DATA!J278</f>
        <v>0</v>
      </c>
      <c r="K278">
        <f>RAW_DATA!K278</f>
        <v>0</v>
      </c>
      <c r="L278">
        <f>RAW_DATA!L278</f>
        <v>0</v>
      </c>
      <c r="M278">
        <f>H278*I278</f>
        <v>0</v>
      </c>
      <c r="N278">
        <f>ISOWEEKNUM(B278)</f>
        <v>0</v>
      </c>
      <c r="O278">
        <f>TEXT(B278,"mmm")</f>
        <v>0</v>
      </c>
      <c r="P278">
        <f>"Q"&amp;ROUNDUP(MONTH(B278)/3,0)</f>
        <v>0</v>
      </c>
      <c r="Q278">
        <f>IF(J278&gt;=4,"High",IF(J278&gt;=3,"Medium","Low"))</f>
        <v>0</v>
      </c>
      <c r="R278">
        <f>IF(K278&lt;=5,"On Time","Delayed")</f>
        <v>0</v>
      </c>
    </row>
    <row r="279" spans="1:18">
      <c r="A279">
        <f>RAW_DATA!A279</f>
        <v>0</v>
      </c>
      <c r="B279">
        <f>RAW_DATA!B279</f>
        <v>0</v>
      </c>
      <c r="C279">
        <f>RAW_DATA!C279</f>
        <v>0</v>
      </c>
      <c r="D279">
        <f>RAW_DATA!D279</f>
        <v>0</v>
      </c>
      <c r="E279">
        <f>RAW_DATA!E279</f>
        <v>0</v>
      </c>
      <c r="F279">
        <f>RAW_DATA!F279</f>
        <v>0</v>
      </c>
      <c r="G279">
        <f>RAW_DATA!G279</f>
        <v>0</v>
      </c>
      <c r="H279">
        <f>RAW_DATA!H279</f>
        <v>0</v>
      </c>
      <c r="I279">
        <f>RAW_DATA!I279</f>
        <v>0</v>
      </c>
      <c r="J279">
        <f>RAW_DATA!J279</f>
        <v>0</v>
      </c>
      <c r="K279">
        <f>RAW_DATA!K279</f>
        <v>0</v>
      </c>
      <c r="L279">
        <f>RAW_DATA!L279</f>
        <v>0</v>
      </c>
      <c r="M279">
        <f>H279*I279</f>
        <v>0</v>
      </c>
      <c r="N279">
        <f>ISOWEEKNUM(B279)</f>
        <v>0</v>
      </c>
      <c r="O279">
        <f>TEXT(B279,"mmm")</f>
        <v>0</v>
      </c>
      <c r="P279">
        <f>"Q"&amp;ROUNDUP(MONTH(B279)/3,0)</f>
        <v>0</v>
      </c>
      <c r="Q279">
        <f>IF(J279&gt;=4,"High",IF(J279&gt;=3,"Medium","Low"))</f>
        <v>0</v>
      </c>
      <c r="R279">
        <f>IF(K279&lt;=5,"On Time","Delayed")</f>
        <v>0</v>
      </c>
    </row>
    <row r="280" spans="1:18">
      <c r="A280">
        <f>RAW_DATA!A280</f>
        <v>0</v>
      </c>
      <c r="B280">
        <f>RAW_DATA!B280</f>
        <v>0</v>
      </c>
      <c r="C280">
        <f>RAW_DATA!C280</f>
        <v>0</v>
      </c>
      <c r="D280">
        <f>RAW_DATA!D280</f>
        <v>0</v>
      </c>
      <c r="E280">
        <f>RAW_DATA!E280</f>
        <v>0</v>
      </c>
      <c r="F280">
        <f>RAW_DATA!F280</f>
        <v>0</v>
      </c>
      <c r="G280">
        <f>RAW_DATA!G280</f>
        <v>0</v>
      </c>
      <c r="H280">
        <f>RAW_DATA!H280</f>
        <v>0</v>
      </c>
      <c r="I280">
        <f>RAW_DATA!I280</f>
        <v>0</v>
      </c>
      <c r="J280">
        <f>RAW_DATA!J280</f>
        <v>0</v>
      </c>
      <c r="K280">
        <f>RAW_DATA!K280</f>
        <v>0</v>
      </c>
      <c r="L280">
        <f>RAW_DATA!L280</f>
        <v>0</v>
      </c>
      <c r="M280">
        <f>H280*I280</f>
        <v>0</v>
      </c>
      <c r="N280">
        <f>ISOWEEKNUM(B280)</f>
        <v>0</v>
      </c>
      <c r="O280">
        <f>TEXT(B280,"mmm")</f>
        <v>0</v>
      </c>
      <c r="P280">
        <f>"Q"&amp;ROUNDUP(MONTH(B280)/3,0)</f>
        <v>0</v>
      </c>
      <c r="Q280">
        <f>IF(J280&gt;=4,"High",IF(J280&gt;=3,"Medium","Low"))</f>
        <v>0</v>
      </c>
      <c r="R280">
        <f>IF(K280&lt;=5,"On Time","Delayed")</f>
        <v>0</v>
      </c>
    </row>
    <row r="281" spans="1:18">
      <c r="A281">
        <f>RAW_DATA!A281</f>
        <v>0</v>
      </c>
      <c r="B281">
        <f>RAW_DATA!B281</f>
        <v>0</v>
      </c>
      <c r="C281">
        <f>RAW_DATA!C281</f>
        <v>0</v>
      </c>
      <c r="D281">
        <f>RAW_DATA!D281</f>
        <v>0</v>
      </c>
      <c r="E281">
        <f>RAW_DATA!E281</f>
        <v>0</v>
      </c>
      <c r="F281">
        <f>RAW_DATA!F281</f>
        <v>0</v>
      </c>
      <c r="G281">
        <f>RAW_DATA!G281</f>
        <v>0</v>
      </c>
      <c r="H281">
        <f>RAW_DATA!H281</f>
        <v>0</v>
      </c>
      <c r="I281">
        <f>RAW_DATA!I281</f>
        <v>0</v>
      </c>
      <c r="J281">
        <f>RAW_DATA!J281</f>
        <v>0</v>
      </c>
      <c r="K281">
        <f>RAW_DATA!K281</f>
        <v>0</v>
      </c>
      <c r="L281">
        <f>RAW_DATA!L281</f>
        <v>0</v>
      </c>
      <c r="M281">
        <f>H281*I281</f>
        <v>0</v>
      </c>
      <c r="N281">
        <f>ISOWEEKNUM(B281)</f>
        <v>0</v>
      </c>
      <c r="O281">
        <f>TEXT(B281,"mmm")</f>
        <v>0</v>
      </c>
      <c r="P281">
        <f>"Q"&amp;ROUNDUP(MONTH(B281)/3,0)</f>
        <v>0</v>
      </c>
      <c r="Q281">
        <f>IF(J281&gt;=4,"High",IF(J281&gt;=3,"Medium","Low"))</f>
        <v>0</v>
      </c>
      <c r="R281">
        <f>IF(K281&lt;=5,"On Time","Delayed")</f>
        <v>0</v>
      </c>
    </row>
    <row r="282" spans="1:18">
      <c r="A282">
        <f>RAW_DATA!A282</f>
        <v>0</v>
      </c>
      <c r="B282">
        <f>RAW_DATA!B282</f>
        <v>0</v>
      </c>
      <c r="C282">
        <f>RAW_DATA!C282</f>
        <v>0</v>
      </c>
      <c r="D282">
        <f>RAW_DATA!D282</f>
        <v>0</v>
      </c>
      <c r="E282">
        <f>RAW_DATA!E282</f>
        <v>0</v>
      </c>
      <c r="F282">
        <f>RAW_DATA!F282</f>
        <v>0</v>
      </c>
      <c r="G282">
        <f>RAW_DATA!G282</f>
        <v>0</v>
      </c>
      <c r="H282">
        <f>RAW_DATA!H282</f>
        <v>0</v>
      </c>
      <c r="I282">
        <f>RAW_DATA!I282</f>
        <v>0</v>
      </c>
      <c r="J282">
        <f>RAW_DATA!J282</f>
        <v>0</v>
      </c>
      <c r="K282">
        <f>RAW_DATA!K282</f>
        <v>0</v>
      </c>
      <c r="L282">
        <f>RAW_DATA!L282</f>
        <v>0</v>
      </c>
      <c r="M282">
        <f>H282*I282</f>
        <v>0</v>
      </c>
      <c r="N282">
        <f>ISOWEEKNUM(B282)</f>
        <v>0</v>
      </c>
      <c r="O282">
        <f>TEXT(B282,"mmm")</f>
        <v>0</v>
      </c>
      <c r="P282">
        <f>"Q"&amp;ROUNDUP(MONTH(B282)/3,0)</f>
        <v>0</v>
      </c>
      <c r="Q282">
        <f>IF(J282&gt;=4,"High",IF(J282&gt;=3,"Medium","Low"))</f>
        <v>0</v>
      </c>
      <c r="R282">
        <f>IF(K282&lt;=5,"On Time","Delayed")</f>
        <v>0</v>
      </c>
    </row>
    <row r="283" spans="1:18">
      <c r="A283">
        <f>RAW_DATA!A283</f>
        <v>0</v>
      </c>
      <c r="B283">
        <f>RAW_DATA!B283</f>
        <v>0</v>
      </c>
      <c r="C283">
        <f>RAW_DATA!C283</f>
        <v>0</v>
      </c>
      <c r="D283">
        <f>RAW_DATA!D283</f>
        <v>0</v>
      </c>
      <c r="E283">
        <f>RAW_DATA!E283</f>
        <v>0</v>
      </c>
      <c r="F283">
        <f>RAW_DATA!F283</f>
        <v>0</v>
      </c>
      <c r="G283">
        <f>RAW_DATA!G283</f>
        <v>0</v>
      </c>
      <c r="H283">
        <f>RAW_DATA!H283</f>
        <v>0</v>
      </c>
      <c r="I283">
        <f>RAW_DATA!I283</f>
        <v>0</v>
      </c>
      <c r="J283">
        <f>RAW_DATA!J283</f>
        <v>0</v>
      </c>
      <c r="K283">
        <f>RAW_DATA!K283</f>
        <v>0</v>
      </c>
      <c r="L283">
        <f>RAW_DATA!L283</f>
        <v>0</v>
      </c>
      <c r="M283">
        <f>H283*I283</f>
        <v>0</v>
      </c>
      <c r="N283">
        <f>ISOWEEKNUM(B283)</f>
        <v>0</v>
      </c>
      <c r="O283">
        <f>TEXT(B283,"mmm")</f>
        <v>0</v>
      </c>
      <c r="P283">
        <f>"Q"&amp;ROUNDUP(MONTH(B283)/3,0)</f>
        <v>0</v>
      </c>
      <c r="Q283">
        <f>IF(J283&gt;=4,"High",IF(J283&gt;=3,"Medium","Low"))</f>
        <v>0</v>
      </c>
      <c r="R283">
        <f>IF(K283&lt;=5,"On Time","Delayed")</f>
        <v>0</v>
      </c>
    </row>
    <row r="284" spans="1:18">
      <c r="A284">
        <f>RAW_DATA!A284</f>
        <v>0</v>
      </c>
      <c r="B284">
        <f>RAW_DATA!B284</f>
        <v>0</v>
      </c>
      <c r="C284">
        <f>RAW_DATA!C284</f>
        <v>0</v>
      </c>
      <c r="D284">
        <f>RAW_DATA!D284</f>
        <v>0</v>
      </c>
      <c r="E284">
        <f>RAW_DATA!E284</f>
        <v>0</v>
      </c>
      <c r="F284">
        <f>RAW_DATA!F284</f>
        <v>0</v>
      </c>
      <c r="G284">
        <f>RAW_DATA!G284</f>
        <v>0</v>
      </c>
      <c r="H284">
        <f>RAW_DATA!H284</f>
        <v>0</v>
      </c>
      <c r="I284">
        <f>RAW_DATA!I284</f>
        <v>0</v>
      </c>
      <c r="J284">
        <f>RAW_DATA!J284</f>
        <v>0</v>
      </c>
      <c r="K284">
        <f>RAW_DATA!K284</f>
        <v>0</v>
      </c>
      <c r="L284">
        <f>RAW_DATA!L284</f>
        <v>0</v>
      </c>
      <c r="M284">
        <f>H284*I284</f>
        <v>0</v>
      </c>
      <c r="N284">
        <f>ISOWEEKNUM(B284)</f>
        <v>0</v>
      </c>
      <c r="O284">
        <f>TEXT(B284,"mmm")</f>
        <v>0</v>
      </c>
      <c r="P284">
        <f>"Q"&amp;ROUNDUP(MONTH(B284)/3,0)</f>
        <v>0</v>
      </c>
      <c r="Q284">
        <f>IF(J284&gt;=4,"High",IF(J284&gt;=3,"Medium","Low"))</f>
        <v>0</v>
      </c>
      <c r="R284">
        <f>IF(K284&lt;=5,"On Time","Delayed")</f>
        <v>0</v>
      </c>
    </row>
    <row r="285" spans="1:18">
      <c r="A285">
        <f>RAW_DATA!A285</f>
        <v>0</v>
      </c>
      <c r="B285">
        <f>RAW_DATA!B285</f>
        <v>0</v>
      </c>
      <c r="C285">
        <f>RAW_DATA!C285</f>
        <v>0</v>
      </c>
      <c r="D285">
        <f>RAW_DATA!D285</f>
        <v>0</v>
      </c>
      <c r="E285">
        <f>RAW_DATA!E285</f>
        <v>0</v>
      </c>
      <c r="F285">
        <f>RAW_DATA!F285</f>
        <v>0</v>
      </c>
      <c r="G285">
        <f>RAW_DATA!G285</f>
        <v>0</v>
      </c>
      <c r="H285">
        <f>RAW_DATA!H285</f>
        <v>0</v>
      </c>
      <c r="I285">
        <f>RAW_DATA!I285</f>
        <v>0</v>
      </c>
      <c r="J285">
        <f>RAW_DATA!J285</f>
        <v>0</v>
      </c>
      <c r="K285">
        <f>RAW_DATA!K285</f>
        <v>0</v>
      </c>
      <c r="L285">
        <f>RAW_DATA!L285</f>
        <v>0</v>
      </c>
      <c r="M285">
        <f>H285*I285</f>
        <v>0</v>
      </c>
      <c r="N285">
        <f>ISOWEEKNUM(B285)</f>
        <v>0</v>
      </c>
      <c r="O285">
        <f>TEXT(B285,"mmm")</f>
        <v>0</v>
      </c>
      <c r="P285">
        <f>"Q"&amp;ROUNDUP(MONTH(B285)/3,0)</f>
        <v>0</v>
      </c>
      <c r="Q285">
        <f>IF(J285&gt;=4,"High",IF(J285&gt;=3,"Medium","Low"))</f>
        <v>0</v>
      </c>
      <c r="R285">
        <f>IF(K285&lt;=5,"On Time","Delayed")</f>
        <v>0</v>
      </c>
    </row>
    <row r="286" spans="1:18">
      <c r="A286">
        <f>RAW_DATA!A286</f>
        <v>0</v>
      </c>
      <c r="B286">
        <f>RAW_DATA!B286</f>
        <v>0</v>
      </c>
      <c r="C286">
        <f>RAW_DATA!C286</f>
        <v>0</v>
      </c>
      <c r="D286">
        <f>RAW_DATA!D286</f>
        <v>0</v>
      </c>
      <c r="E286">
        <f>RAW_DATA!E286</f>
        <v>0</v>
      </c>
      <c r="F286">
        <f>RAW_DATA!F286</f>
        <v>0</v>
      </c>
      <c r="G286">
        <f>RAW_DATA!G286</f>
        <v>0</v>
      </c>
      <c r="H286">
        <f>RAW_DATA!H286</f>
        <v>0</v>
      </c>
      <c r="I286">
        <f>RAW_DATA!I286</f>
        <v>0</v>
      </c>
      <c r="J286">
        <f>RAW_DATA!J286</f>
        <v>0</v>
      </c>
      <c r="K286">
        <f>RAW_DATA!K286</f>
        <v>0</v>
      </c>
      <c r="L286">
        <f>RAW_DATA!L286</f>
        <v>0</v>
      </c>
      <c r="M286">
        <f>H286*I286</f>
        <v>0</v>
      </c>
      <c r="N286">
        <f>ISOWEEKNUM(B286)</f>
        <v>0</v>
      </c>
      <c r="O286">
        <f>TEXT(B286,"mmm")</f>
        <v>0</v>
      </c>
      <c r="P286">
        <f>"Q"&amp;ROUNDUP(MONTH(B286)/3,0)</f>
        <v>0</v>
      </c>
      <c r="Q286">
        <f>IF(J286&gt;=4,"High",IF(J286&gt;=3,"Medium","Low"))</f>
        <v>0</v>
      </c>
      <c r="R286">
        <f>IF(K286&lt;=5,"On Time","Delayed")</f>
        <v>0</v>
      </c>
    </row>
    <row r="287" spans="1:18">
      <c r="A287">
        <f>RAW_DATA!A287</f>
        <v>0</v>
      </c>
      <c r="B287">
        <f>RAW_DATA!B287</f>
        <v>0</v>
      </c>
      <c r="C287">
        <f>RAW_DATA!C287</f>
        <v>0</v>
      </c>
      <c r="D287">
        <f>RAW_DATA!D287</f>
        <v>0</v>
      </c>
      <c r="E287">
        <f>RAW_DATA!E287</f>
        <v>0</v>
      </c>
      <c r="F287">
        <f>RAW_DATA!F287</f>
        <v>0</v>
      </c>
      <c r="G287">
        <f>RAW_DATA!G287</f>
        <v>0</v>
      </c>
      <c r="H287">
        <f>RAW_DATA!H287</f>
        <v>0</v>
      </c>
      <c r="I287">
        <f>RAW_DATA!I287</f>
        <v>0</v>
      </c>
      <c r="J287">
        <f>RAW_DATA!J287</f>
        <v>0</v>
      </c>
      <c r="K287">
        <f>RAW_DATA!K287</f>
        <v>0</v>
      </c>
      <c r="L287">
        <f>RAW_DATA!L287</f>
        <v>0</v>
      </c>
      <c r="M287">
        <f>H287*I287</f>
        <v>0</v>
      </c>
      <c r="N287">
        <f>ISOWEEKNUM(B287)</f>
        <v>0</v>
      </c>
      <c r="O287">
        <f>TEXT(B287,"mmm")</f>
        <v>0</v>
      </c>
      <c r="P287">
        <f>"Q"&amp;ROUNDUP(MONTH(B287)/3,0)</f>
        <v>0</v>
      </c>
      <c r="Q287">
        <f>IF(J287&gt;=4,"High",IF(J287&gt;=3,"Medium","Low"))</f>
        <v>0</v>
      </c>
      <c r="R287">
        <f>IF(K287&lt;=5,"On Time","Delayed")</f>
        <v>0</v>
      </c>
    </row>
    <row r="288" spans="1:18">
      <c r="A288">
        <f>RAW_DATA!A288</f>
        <v>0</v>
      </c>
      <c r="B288">
        <f>RAW_DATA!B288</f>
        <v>0</v>
      </c>
      <c r="C288">
        <f>RAW_DATA!C288</f>
        <v>0</v>
      </c>
      <c r="D288">
        <f>RAW_DATA!D288</f>
        <v>0</v>
      </c>
      <c r="E288">
        <f>RAW_DATA!E288</f>
        <v>0</v>
      </c>
      <c r="F288">
        <f>RAW_DATA!F288</f>
        <v>0</v>
      </c>
      <c r="G288">
        <f>RAW_DATA!G288</f>
        <v>0</v>
      </c>
      <c r="H288">
        <f>RAW_DATA!H288</f>
        <v>0</v>
      </c>
      <c r="I288">
        <f>RAW_DATA!I288</f>
        <v>0</v>
      </c>
      <c r="J288">
        <f>RAW_DATA!J288</f>
        <v>0</v>
      </c>
      <c r="K288">
        <f>RAW_DATA!K288</f>
        <v>0</v>
      </c>
      <c r="L288">
        <f>RAW_DATA!L288</f>
        <v>0</v>
      </c>
      <c r="M288">
        <f>H288*I288</f>
        <v>0</v>
      </c>
      <c r="N288">
        <f>ISOWEEKNUM(B288)</f>
        <v>0</v>
      </c>
      <c r="O288">
        <f>TEXT(B288,"mmm")</f>
        <v>0</v>
      </c>
      <c r="P288">
        <f>"Q"&amp;ROUNDUP(MONTH(B288)/3,0)</f>
        <v>0</v>
      </c>
      <c r="Q288">
        <f>IF(J288&gt;=4,"High",IF(J288&gt;=3,"Medium","Low"))</f>
        <v>0</v>
      </c>
      <c r="R288">
        <f>IF(K288&lt;=5,"On Time","Delayed")</f>
        <v>0</v>
      </c>
    </row>
    <row r="289" spans="1:18">
      <c r="A289">
        <f>RAW_DATA!A289</f>
        <v>0</v>
      </c>
      <c r="B289">
        <f>RAW_DATA!B289</f>
        <v>0</v>
      </c>
      <c r="C289">
        <f>RAW_DATA!C289</f>
        <v>0</v>
      </c>
      <c r="D289">
        <f>RAW_DATA!D289</f>
        <v>0</v>
      </c>
      <c r="E289">
        <f>RAW_DATA!E289</f>
        <v>0</v>
      </c>
      <c r="F289">
        <f>RAW_DATA!F289</f>
        <v>0</v>
      </c>
      <c r="G289">
        <f>RAW_DATA!G289</f>
        <v>0</v>
      </c>
      <c r="H289">
        <f>RAW_DATA!H289</f>
        <v>0</v>
      </c>
      <c r="I289">
        <f>RAW_DATA!I289</f>
        <v>0</v>
      </c>
      <c r="J289">
        <f>RAW_DATA!J289</f>
        <v>0</v>
      </c>
      <c r="K289">
        <f>RAW_DATA!K289</f>
        <v>0</v>
      </c>
      <c r="L289">
        <f>RAW_DATA!L289</f>
        <v>0</v>
      </c>
      <c r="M289">
        <f>H289*I289</f>
        <v>0</v>
      </c>
      <c r="N289">
        <f>ISOWEEKNUM(B289)</f>
        <v>0</v>
      </c>
      <c r="O289">
        <f>TEXT(B289,"mmm")</f>
        <v>0</v>
      </c>
      <c r="P289">
        <f>"Q"&amp;ROUNDUP(MONTH(B289)/3,0)</f>
        <v>0</v>
      </c>
      <c r="Q289">
        <f>IF(J289&gt;=4,"High",IF(J289&gt;=3,"Medium","Low"))</f>
        <v>0</v>
      </c>
      <c r="R289">
        <f>IF(K289&lt;=5,"On Time","Delayed")</f>
        <v>0</v>
      </c>
    </row>
    <row r="290" spans="1:18">
      <c r="A290">
        <f>RAW_DATA!A290</f>
        <v>0</v>
      </c>
      <c r="B290">
        <f>RAW_DATA!B290</f>
        <v>0</v>
      </c>
      <c r="C290">
        <f>RAW_DATA!C290</f>
        <v>0</v>
      </c>
      <c r="D290">
        <f>RAW_DATA!D290</f>
        <v>0</v>
      </c>
      <c r="E290">
        <f>RAW_DATA!E290</f>
        <v>0</v>
      </c>
      <c r="F290">
        <f>RAW_DATA!F290</f>
        <v>0</v>
      </c>
      <c r="G290">
        <f>RAW_DATA!G290</f>
        <v>0</v>
      </c>
      <c r="H290">
        <f>RAW_DATA!H290</f>
        <v>0</v>
      </c>
      <c r="I290">
        <f>RAW_DATA!I290</f>
        <v>0</v>
      </c>
      <c r="J290">
        <f>RAW_DATA!J290</f>
        <v>0</v>
      </c>
      <c r="K290">
        <f>RAW_DATA!K290</f>
        <v>0</v>
      </c>
      <c r="L290">
        <f>RAW_DATA!L290</f>
        <v>0</v>
      </c>
      <c r="M290">
        <f>H290*I290</f>
        <v>0</v>
      </c>
      <c r="N290">
        <f>ISOWEEKNUM(B290)</f>
        <v>0</v>
      </c>
      <c r="O290">
        <f>TEXT(B290,"mmm")</f>
        <v>0</v>
      </c>
      <c r="P290">
        <f>"Q"&amp;ROUNDUP(MONTH(B290)/3,0)</f>
        <v>0</v>
      </c>
      <c r="Q290">
        <f>IF(J290&gt;=4,"High",IF(J290&gt;=3,"Medium","Low"))</f>
        <v>0</v>
      </c>
      <c r="R290">
        <f>IF(K290&lt;=5,"On Time","Delayed")</f>
        <v>0</v>
      </c>
    </row>
    <row r="291" spans="1:18">
      <c r="A291">
        <f>RAW_DATA!A291</f>
        <v>0</v>
      </c>
      <c r="B291">
        <f>RAW_DATA!B291</f>
        <v>0</v>
      </c>
      <c r="C291">
        <f>RAW_DATA!C291</f>
        <v>0</v>
      </c>
      <c r="D291">
        <f>RAW_DATA!D291</f>
        <v>0</v>
      </c>
      <c r="E291">
        <f>RAW_DATA!E291</f>
        <v>0</v>
      </c>
      <c r="F291">
        <f>RAW_DATA!F291</f>
        <v>0</v>
      </c>
      <c r="G291">
        <f>RAW_DATA!G291</f>
        <v>0</v>
      </c>
      <c r="H291">
        <f>RAW_DATA!H291</f>
        <v>0</v>
      </c>
      <c r="I291">
        <f>RAW_DATA!I291</f>
        <v>0</v>
      </c>
      <c r="J291">
        <f>RAW_DATA!J291</f>
        <v>0</v>
      </c>
      <c r="K291">
        <f>RAW_DATA!K291</f>
        <v>0</v>
      </c>
      <c r="L291">
        <f>RAW_DATA!L291</f>
        <v>0</v>
      </c>
      <c r="M291">
        <f>H291*I291</f>
        <v>0</v>
      </c>
      <c r="N291">
        <f>ISOWEEKNUM(B291)</f>
        <v>0</v>
      </c>
      <c r="O291">
        <f>TEXT(B291,"mmm")</f>
        <v>0</v>
      </c>
      <c r="P291">
        <f>"Q"&amp;ROUNDUP(MONTH(B291)/3,0)</f>
        <v>0</v>
      </c>
      <c r="Q291">
        <f>IF(J291&gt;=4,"High",IF(J291&gt;=3,"Medium","Low"))</f>
        <v>0</v>
      </c>
      <c r="R291">
        <f>IF(K291&lt;=5,"On Time","Delayed")</f>
        <v>0</v>
      </c>
    </row>
    <row r="292" spans="1:18">
      <c r="A292">
        <f>RAW_DATA!A292</f>
        <v>0</v>
      </c>
      <c r="B292">
        <f>RAW_DATA!B292</f>
        <v>0</v>
      </c>
      <c r="C292">
        <f>RAW_DATA!C292</f>
        <v>0</v>
      </c>
      <c r="D292">
        <f>RAW_DATA!D292</f>
        <v>0</v>
      </c>
      <c r="E292">
        <f>RAW_DATA!E292</f>
        <v>0</v>
      </c>
      <c r="F292">
        <f>RAW_DATA!F292</f>
        <v>0</v>
      </c>
      <c r="G292">
        <f>RAW_DATA!G292</f>
        <v>0</v>
      </c>
      <c r="H292">
        <f>RAW_DATA!H292</f>
        <v>0</v>
      </c>
      <c r="I292">
        <f>RAW_DATA!I292</f>
        <v>0</v>
      </c>
      <c r="J292">
        <f>RAW_DATA!J292</f>
        <v>0</v>
      </c>
      <c r="K292">
        <f>RAW_DATA!K292</f>
        <v>0</v>
      </c>
      <c r="L292">
        <f>RAW_DATA!L292</f>
        <v>0</v>
      </c>
      <c r="M292">
        <f>H292*I292</f>
        <v>0</v>
      </c>
      <c r="N292">
        <f>ISOWEEKNUM(B292)</f>
        <v>0</v>
      </c>
      <c r="O292">
        <f>TEXT(B292,"mmm")</f>
        <v>0</v>
      </c>
      <c r="P292">
        <f>"Q"&amp;ROUNDUP(MONTH(B292)/3,0)</f>
        <v>0</v>
      </c>
      <c r="Q292">
        <f>IF(J292&gt;=4,"High",IF(J292&gt;=3,"Medium","Low"))</f>
        <v>0</v>
      </c>
      <c r="R292">
        <f>IF(K292&lt;=5,"On Time","Delayed")</f>
        <v>0</v>
      </c>
    </row>
    <row r="293" spans="1:18">
      <c r="A293">
        <f>RAW_DATA!A293</f>
        <v>0</v>
      </c>
      <c r="B293">
        <f>RAW_DATA!B293</f>
        <v>0</v>
      </c>
      <c r="C293">
        <f>RAW_DATA!C293</f>
        <v>0</v>
      </c>
      <c r="D293">
        <f>RAW_DATA!D293</f>
        <v>0</v>
      </c>
      <c r="E293">
        <f>RAW_DATA!E293</f>
        <v>0</v>
      </c>
      <c r="F293">
        <f>RAW_DATA!F293</f>
        <v>0</v>
      </c>
      <c r="G293">
        <f>RAW_DATA!G293</f>
        <v>0</v>
      </c>
      <c r="H293">
        <f>RAW_DATA!H293</f>
        <v>0</v>
      </c>
      <c r="I293">
        <f>RAW_DATA!I293</f>
        <v>0</v>
      </c>
      <c r="J293">
        <f>RAW_DATA!J293</f>
        <v>0</v>
      </c>
      <c r="K293">
        <f>RAW_DATA!K293</f>
        <v>0</v>
      </c>
      <c r="L293">
        <f>RAW_DATA!L293</f>
        <v>0</v>
      </c>
      <c r="M293">
        <f>H293*I293</f>
        <v>0</v>
      </c>
      <c r="N293">
        <f>ISOWEEKNUM(B293)</f>
        <v>0</v>
      </c>
      <c r="O293">
        <f>TEXT(B293,"mmm")</f>
        <v>0</v>
      </c>
      <c r="P293">
        <f>"Q"&amp;ROUNDUP(MONTH(B293)/3,0)</f>
        <v>0</v>
      </c>
      <c r="Q293">
        <f>IF(J293&gt;=4,"High",IF(J293&gt;=3,"Medium","Low"))</f>
        <v>0</v>
      </c>
      <c r="R293">
        <f>IF(K293&lt;=5,"On Time","Delayed")</f>
        <v>0</v>
      </c>
    </row>
    <row r="294" spans="1:18">
      <c r="A294">
        <f>RAW_DATA!A294</f>
        <v>0</v>
      </c>
      <c r="B294">
        <f>RAW_DATA!B294</f>
        <v>0</v>
      </c>
      <c r="C294">
        <f>RAW_DATA!C294</f>
        <v>0</v>
      </c>
      <c r="D294">
        <f>RAW_DATA!D294</f>
        <v>0</v>
      </c>
      <c r="E294">
        <f>RAW_DATA!E294</f>
        <v>0</v>
      </c>
      <c r="F294">
        <f>RAW_DATA!F294</f>
        <v>0</v>
      </c>
      <c r="G294">
        <f>RAW_DATA!G294</f>
        <v>0</v>
      </c>
      <c r="H294">
        <f>RAW_DATA!H294</f>
        <v>0</v>
      </c>
      <c r="I294">
        <f>RAW_DATA!I294</f>
        <v>0</v>
      </c>
      <c r="J294">
        <f>RAW_DATA!J294</f>
        <v>0</v>
      </c>
      <c r="K294">
        <f>RAW_DATA!K294</f>
        <v>0</v>
      </c>
      <c r="L294">
        <f>RAW_DATA!L294</f>
        <v>0</v>
      </c>
      <c r="M294">
        <f>H294*I294</f>
        <v>0</v>
      </c>
      <c r="N294">
        <f>ISOWEEKNUM(B294)</f>
        <v>0</v>
      </c>
      <c r="O294">
        <f>TEXT(B294,"mmm")</f>
        <v>0</v>
      </c>
      <c r="P294">
        <f>"Q"&amp;ROUNDUP(MONTH(B294)/3,0)</f>
        <v>0</v>
      </c>
      <c r="Q294">
        <f>IF(J294&gt;=4,"High",IF(J294&gt;=3,"Medium","Low"))</f>
        <v>0</v>
      </c>
      <c r="R294">
        <f>IF(K294&lt;=5,"On Time","Delayed")</f>
        <v>0</v>
      </c>
    </row>
    <row r="295" spans="1:18">
      <c r="A295">
        <f>RAW_DATA!A295</f>
        <v>0</v>
      </c>
      <c r="B295">
        <f>RAW_DATA!B295</f>
        <v>0</v>
      </c>
      <c r="C295">
        <f>RAW_DATA!C295</f>
        <v>0</v>
      </c>
      <c r="D295">
        <f>RAW_DATA!D295</f>
        <v>0</v>
      </c>
      <c r="E295">
        <f>RAW_DATA!E295</f>
        <v>0</v>
      </c>
      <c r="F295">
        <f>RAW_DATA!F295</f>
        <v>0</v>
      </c>
      <c r="G295">
        <f>RAW_DATA!G295</f>
        <v>0</v>
      </c>
      <c r="H295">
        <f>RAW_DATA!H295</f>
        <v>0</v>
      </c>
      <c r="I295">
        <f>RAW_DATA!I295</f>
        <v>0</v>
      </c>
      <c r="J295">
        <f>RAW_DATA!J295</f>
        <v>0</v>
      </c>
      <c r="K295">
        <f>RAW_DATA!K295</f>
        <v>0</v>
      </c>
      <c r="L295">
        <f>RAW_DATA!L295</f>
        <v>0</v>
      </c>
      <c r="M295">
        <f>H295*I295</f>
        <v>0</v>
      </c>
      <c r="N295">
        <f>ISOWEEKNUM(B295)</f>
        <v>0</v>
      </c>
      <c r="O295">
        <f>TEXT(B295,"mmm")</f>
        <v>0</v>
      </c>
      <c r="P295">
        <f>"Q"&amp;ROUNDUP(MONTH(B295)/3,0)</f>
        <v>0</v>
      </c>
      <c r="Q295">
        <f>IF(J295&gt;=4,"High",IF(J295&gt;=3,"Medium","Low"))</f>
        <v>0</v>
      </c>
      <c r="R295">
        <f>IF(K295&lt;=5,"On Time","Delayed")</f>
        <v>0</v>
      </c>
    </row>
    <row r="296" spans="1:18">
      <c r="A296">
        <f>RAW_DATA!A296</f>
        <v>0</v>
      </c>
      <c r="B296">
        <f>RAW_DATA!B296</f>
        <v>0</v>
      </c>
      <c r="C296">
        <f>RAW_DATA!C296</f>
        <v>0</v>
      </c>
      <c r="D296">
        <f>RAW_DATA!D296</f>
        <v>0</v>
      </c>
      <c r="E296">
        <f>RAW_DATA!E296</f>
        <v>0</v>
      </c>
      <c r="F296">
        <f>RAW_DATA!F296</f>
        <v>0</v>
      </c>
      <c r="G296">
        <f>RAW_DATA!G296</f>
        <v>0</v>
      </c>
      <c r="H296">
        <f>RAW_DATA!H296</f>
        <v>0</v>
      </c>
      <c r="I296">
        <f>RAW_DATA!I296</f>
        <v>0</v>
      </c>
      <c r="J296">
        <f>RAW_DATA!J296</f>
        <v>0</v>
      </c>
      <c r="K296">
        <f>RAW_DATA!K296</f>
        <v>0</v>
      </c>
      <c r="L296">
        <f>RAW_DATA!L296</f>
        <v>0</v>
      </c>
      <c r="M296">
        <f>H296*I296</f>
        <v>0</v>
      </c>
      <c r="N296">
        <f>ISOWEEKNUM(B296)</f>
        <v>0</v>
      </c>
      <c r="O296">
        <f>TEXT(B296,"mmm")</f>
        <v>0</v>
      </c>
      <c r="P296">
        <f>"Q"&amp;ROUNDUP(MONTH(B296)/3,0)</f>
        <v>0</v>
      </c>
      <c r="Q296">
        <f>IF(J296&gt;=4,"High",IF(J296&gt;=3,"Medium","Low"))</f>
        <v>0</v>
      </c>
      <c r="R296">
        <f>IF(K296&lt;=5,"On Time","Delayed")</f>
        <v>0</v>
      </c>
    </row>
    <row r="297" spans="1:18">
      <c r="A297">
        <f>RAW_DATA!A297</f>
        <v>0</v>
      </c>
      <c r="B297">
        <f>RAW_DATA!B297</f>
        <v>0</v>
      </c>
      <c r="C297">
        <f>RAW_DATA!C297</f>
        <v>0</v>
      </c>
      <c r="D297">
        <f>RAW_DATA!D297</f>
        <v>0</v>
      </c>
      <c r="E297">
        <f>RAW_DATA!E297</f>
        <v>0</v>
      </c>
      <c r="F297">
        <f>RAW_DATA!F297</f>
        <v>0</v>
      </c>
      <c r="G297">
        <f>RAW_DATA!G297</f>
        <v>0</v>
      </c>
      <c r="H297">
        <f>RAW_DATA!H297</f>
        <v>0</v>
      </c>
      <c r="I297">
        <f>RAW_DATA!I297</f>
        <v>0</v>
      </c>
      <c r="J297">
        <f>RAW_DATA!J297</f>
        <v>0</v>
      </c>
      <c r="K297">
        <f>RAW_DATA!K297</f>
        <v>0</v>
      </c>
      <c r="L297">
        <f>RAW_DATA!L297</f>
        <v>0</v>
      </c>
      <c r="M297">
        <f>H297*I297</f>
        <v>0</v>
      </c>
      <c r="N297">
        <f>ISOWEEKNUM(B297)</f>
        <v>0</v>
      </c>
      <c r="O297">
        <f>TEXT(B297,"mmm")</f>
        <v>0</v>
      </c>
      <c r="P297">
        <f>"Q"&amp;ROUNDUP(MONTH(B297)/3,0)</f>
        <v>0</v>
      </c>
      <c r="Q297">
        <f>IF(J297&gt;=4,"High",IF(J297&gt;=3,"Medium","Low"))</f>
        <v>0</v>
      </c>
      <c r="R297">
        <f>IF(K297&lt;=5,"On Time","Delayed")</f>
        <v>0</v>
      </c>
    </row>
    <row r="298" spans="1:18">
      <c r="A298">
        <f>RAW_DATA!A298</f>
        <v>0</v>
      </c>
      <c r="B298">
        <f>RAW_DATA!B298</f>
        <v>0</v>
      </c>
      <c r="C298">
        <f>RAW_DATA!C298</f>
        <v>0</v>
      </c>
      <c r="D298">
        <f>RAW_DATA!D298</f>
        <v>0</v>
      </c>
      <c r="E298">
        <f>RAW_DATA!E298</f>
        <v>0</v>
      </c>
      <c r="F298">
        <f>RAW_DATA!F298</f>
        <v>0</v>
      </c>
      <c r="G298">
        <f>RAW_DATA!G298</f>
        <v>0</v>
      </c>
      <c r="H298">
        <f>RAW_DATA!H298</f>
        <v>0</v>
      </c>
      <c r="I298">
        <f>RAW_DATA!I298</f>
        <v>0</v>
      </c>
      <c r="J298">
        <f>RAW_DATA!J298</f>
        <v>0</v>
      </c>
      <c r="K298">
        <f>RAW_DATA!K298</f>
        <v>0</v>
      </c>
      <c r="L298">
        <f>RAW_DATA!L298</f>
        <v>0</v>
      </c>
      <c r="M298">
        <f>H298*I298</f>
        <v>0</v>
      </c>
      <c r="N298">
        <f>ISOWEEKNUM(B298)</f>
        <v>0</v>
      </c>
      <c r="O298">
        <f>TEXT(B298,"mmm")</f>
        <v>0</v>
      </c>
      <c r="P298">
        <f>"Q"&amp;ROUNDUP(MONTH(B298)/3,0)</f>
        <v>0</v>
      </c>
      <c r="Q298">
        <f>IF(J298&gt;=4,"High",IF(J298&gt;=3,"Medium","Low"))</f>
        <v>0</v>
      </c>
      <c r="R298">
        <f>IF(K298&lt;=5,"On Time","Delayed")</f>
        <v>0</v>
      </c>
    </row>
    <row r="299" spans="1:18">
      <c r="A299">
        <f>RAW_DATA!A299</f>
        <v>0</v>
      </c>
      <c r="B299">
        <f>RAW_DATA!B299</f>
        <v>0</v>
      </c>
      <c r="C299">
        <f>RAW_DATA!C299</f>
        <v>0</v>
      </c>
      <c r="D299">
        <f>RAW_DATA!D299</f>
        <v>0</v>
      </c>
      <c r="E299">
        <f>RAW_DATA!E299</f>
        <v>0</v>
      </c>
      <c r="F299">
        <f>RAW_DATA!F299</f>
        <v>0</v>
      </c>
      <c r="G299">
        <f>RAW_DATA!G299</f>
        <v>0</v>
      </c>
      <c r="H299">
        <f>RAW_DATA!H299</f>
        <v>0</v>
      </c>
      <c r="I299">
        <f>RAW_DATA!I299</f>
        <v>0</v>
      </c>
      <c r="J299">
        <f>RAW_DATA!J299</f>
        <v>0</v>
      </c>
      <c r="K299">
        <f>RAW_DATA!K299</f>
        <v>0</v>
      </c>
      <c r="L299">
        <f>RAW_DATA!L299</f>
        <v>0</v>
      </c>
      <c r="M299">
        <f>H299*I299</f>
        <v>0</v>
      </c>
      <c r="N299">
        <f>ISOWEEKNUM(B299)</f>
        <v>0</v>
      </c>
      <c r="O299">
        <f>TEXT(B299,"mmm")</f>
        <v>0</v>
      </c>
      <c r="P299">
        <f>"Q"&amp;ROUNDUP(MONTH(B299)/3,0)</f>
        <v>0</v>
      </c>
      <c r="Q299">
        <f>IF(J299&gt;=4,"High",IF(J299&gt;=3,"Medium","Low"))</f>
        <v>0</v>
      </c>
      <c r="R299">
        <f>IF(K299&lt;=5,"On Time","Delayed")</f>
        <v>0</v>
      </c>
    </row>
    <row r="300" spans="1:18">
      <c r="A300">
        <f>RAW_DATA!A300</f>
        <v>0</v>
      </c>
      <c r="B300">
        <f>RAW_DATA!B300</f>
        <v>0</v>
      </c>
      <c r="C300">
        <f>RAW_DATA!C300</f>
        <v>0</v>
      </c>
      <c r="D300">
        <f>RAW_DATA!D300</f>
        <v>0</v>
      </c>
      <c r="E300">
        <f>RAW_DATA!E300</f>
        <v>0</v>
      </c>
      <c r="F300">
        <f>RAW_DATA!F300</f>
        <v>0</v>
      </c>
      <c r="G300">
        <f>RAW_DATA!G300</f>
        <v>0</v>
      </c>
      <c r="H300">
        <f>RAW_DATA!H300</f>
        <v>0</v>
      </c>
      <c r="I300">
        <f>RAW_DATA!I300</f>
        <v>0</v>
      </c>
      <c r="J300">
        <f>RAW_DATA!J300</f>
        <v>0</v>
      </c>
      <c r="K300">
        <f>RAW_DATA!K300</f>
        <v>0</v>
      </c>
      <c r="L300">
        <f>RAW_DATA!L300</f>
        <v>0</v>
      </c>
      <c r="M300">
        <f>H300*I300</f>
        <v>0</v>
      </c>
      <c r="N300">
        <f>ISOWEEKNUM(B300)</f>
        <v>0</v>
      </c>
      <c r="O300">
        <f>TEXT(B300,"mmm")</f>
        <v>0</v>
      </c>
      <c r="P300">
        <f>"Q"&amp;ROUNDUP(MONTH(B300)/3,0)</f>
        <v>0</v>
      </c>
      <c r="Q300">
        <f>IF(J300&gt;=4,"High",IF(J300&gt;=3,"Medium","Low"))</f>
        <v>0</v>
      </c>
      <c r="R300">
        <f>IF(K300&lt;=5,"On Time","Delayed")</f>
        <v>0</v>
      </c>
    </row>
    <row r="301" spans="1:18">
      <c r="A301">
        <f>RAW_DATA!A301</f>
        <v>0</v>
      </c>
      <c r="B301">
        <f>RAW_DATA!B301</f>
        <v>0</v>
      </c>
      <c r="C301">
        <f>RAW_DATA!C301</f>
        <v>0</v>
      </c>
      <c r="D301">
        <f>RAW_DATA!D301</f>
        <v>0</v>
      </c>
      <c r="E301">
        <f>RAW_DATA!E301</f>
        <v>0</v>
      </c>
      <c r="F301">
        <f>RAW_DATA!F301</f>
        <v>0</v>
      </c>
      <c r="G301">
        <f>RAW_DATA!G301</f>
        <v>0</v>
      </c>
      <c r="H301">
        <f>RAW_DATA!H301</f>
        <v>0</v>
      </c>
      <c r="I301">
        <f>RAW_DATA!I301</f>
        <v>0</v>
      </c>
      <c r="J301">
        <f>RAW_DATA!J301</f>
        <v>0</v>
      </c>
      <c r="K301">
        <f>RAW_DATA!K301</f>
        <v>0</v>
      </c>
      <c r="L301">
        <f>RAW_DATA!L301</f>
        <v>0</v>
      </c>
      <c r="M301">
        <f>H301*I301</f>
        <v>0</v>
      </c>
      <c r="N301">
        <f>ISOWEEKNUM(B301)</f>
        <v>0</v>
      </c>
      <c r="O301">
        <f>TEXT(B301,"mmm")</f>
        <v>0</v>
      </c>
      <c r="P301">
        <f>"Q"&amp;ROUNDUP(MONTH(B301)/3,0)</f>
        <v>0</v>
      </c>
      <c r="Q301">
        <f>IF(J301&gt;=4,"High",IF(J301&gt;=3,"Medium","Low"))</f>
        <v>0</v>
      </c>
      <c r="R301">
        <f>IF(K301&lt;=5,"On Time","Delayed")</f>
        <v>0</v>
      </c>
    </row>
    <row r="302" spans="1:18">
      <c r="A302">
        <f>RAW_DATA!A302</f>
        <v>0</v>
      </c>
      <c r="B302">
        <f>RAW_DATA!B302</f>
        <v>0</v>
      </c>
      <c r="C302">
        <f>RAW_DATA!C302</f>
        <v>0</v>
      </c>
      <c r="D302">
        <f>RAW_DATA!D302</f>
        <v>0</v>
      </c>
      <c r="E302">
        <f>RAW_DATA!E302</f>
        <v>0</v>
      </c>
      <c r="F302">
        <f>RAW_DATA!F302</f>
        <v>0</v>
      </c>
      <c r="G302">
        <f>RAW_DATA!G302</f>
        <v>0</v>
      </c>
      <c r="H302">
        <f>RAW_DATA!H302</f>
        <v>0</v>
      </c>
      <c r="I302">
        <f>RAW_DATA!I302</f>
        <v>0</v>
      </c>
      <c r="J302">
        <f>RAW_DATA!J302</f>
        <v>0</v>
      </c>
      <c r="K302">
        <f>RAW_DATA!K302</f>
        <v>0</v>
      </c>
      <c r="L302">
        <f>RAW_DATA!L302</f>
        <v>0</v>
      </c>
      <c r="M302">
        <f>H302*I302</f>
        <v>0</v>
      </c>
      <c r="N302">
        <f>ISOWEEKNUM(B302)</f>
        <v>0</v>
      </c>
      <c r="O302">
        <f>TEXT(B302,"mmm")</f>
        <v>0</v>
      </c>
      <c r="P302">
        <f>"Q"&amp;ROUNDUP(MONTH(B302)/3,0)</f>
        <v>0</v>
      </c>
      <c r="Q302">
        <f>IF(J302&gt;=4,"High",IF(J302&gt;=3,"Medium","Low"))</f>
        <v>0</v>
      </c>
      <c r="R302">
        <f>IF(K302&lt;=5,"On Time","Delayed")</f>
        <v>0</v>
      </c>
    </row>
    <row r="303" spans="1:18">
      <c r="A303">
        <f>RAW_DATA!A303</f>
        <v>0</v>
      </c>
      <c r="B303">
        <f>RAW_DATA!B303</f>
        <v>0</v>
      </c>
      <c r="C303">
        <f>RAW_DATA!C303</f>
        <v>0</v>
      </c>
      <c r="D303">
        <f>RAW_DATA!D303</f>
        <v>0</v>
      </c>
      <c r="E303">
        <f>RAW_DATA!E303</f>
        <v>0</v>
      </c>
      <c r="F303">
        <f>RAW_DATA!F303</f>
        <v>0</v>
      </c>
      <c r="G303">
        <f>RAW_DATA!G303</f>
        <v>0</v>
      </c>
      <c r="H303">
        <f>RAW_DATA!H303</f>
        <v>0</v>
      </c>
      <c r="I303">
        <f>RAW_DATA!I303</f>
        <v>0</v>
      </c>
      <c r="J303">
        <f>RAW_DATA!J303</f>
        <v>0</v>
      </c>
      <c r="K303">
        <f>RAW_DATA!K303</f>
        <v>0</v>
      </c>
      <c r="L303">
        <f>RAW_DATA!L303</f>
        <v>0</v>
      </c>
      <c r="M303">
        <f>H303*I303</f>
        <v>0</v>
      </c>
      <c r="N303">
        <f>ISOWEEKNUM(B303)</f>
        <v>0</v>
      </c>
      <c r="O303">
        <f>TEXT(B303,"mmm")</f>
        <v>0</v>
      </c>
      <c r="P303">
        <f>"Q"&amp;ROUNDUP(MONTH(B303)/3,0)</f>
        <v>0</v>
      </c>
      <c r="Q303">
        <f>IF(J303&gt;=4,"High",IF(J303&gt;=3,"Medium","Low"))</f>
        <v>0</v>
      </c>
      <c r="R303">
        <f>IF(K303&lt;=5,"On Time","Delayed")</f>
        <v>0</v>
      </c>
    </row>
    <row r="304" spans="1:18">
      <c r="A304">
        <f>RAW_DATA!A304</f>
        <v>0</v>
      </c>
      <c r="B304">
        <f>RAW_DATA!B304</f>
        <v>0</v>
      </c>
      <c r="C304">
        <f>RAW_DATA!C304</f>
        <v>0</v>
      </c>
      <c r="D304">
        <f>RAW_DATA!D304</f>
        <v>0</v>
      </c>
      <c r="E304">
        <f>RAW_DATA!E304</f>
        <v>0</v>
      </c>
      <c r="F304">
        <f>RAW_DATA!F304</f>
        <v>0</v>
      </c>
      <c r="G304">
        <f>RAW_DATA!G304</f>
        <v>0</v>
      </c>
      <c r="H304">
        <f>RAW_DATA!H304</f>
        <v>0</v>
      </c>
      <c r="I304">
        <f>RAW_DATA!I304</f>
        <v>0</v>
      </c>
      <c r="J304">
        <f>RAW_DATA!J304</f>
        <v>0</v>
      </c>
      <c r="K304">
        <f>RAW_DATA!K304</f>
        <v>0</v>
      </c>
      <c r="L304">
        <f>RAW_DATA!L304</f>
        <v>0</v>
      </c>
      <c r="M304">
        <f>H304*I304</f>
        <v>0</v>
      </c>
      <c r="N304">
        <f>ISOWEEKNUM(B304)</f>
        <v>0</v>
      </c>
      <c r="O304">
        <f>TEXT(B304,"mmm")</f>
        <v>0</v>
      </c>
      <c r="P304">
        <f>"Q"&amp;ROUNDUP(MONTH(B304)/3,0)</f>
        <v>0</v>
      </c>
      <c r="Q304">
        <f>IF(J304&gt;=4,"High",IF(J304&gt;=3,"Medium","Low"))</f>
        <v>0</v>
      </c>
      <c r="R304">
        <f>IF(K304&lt;=5,"On Time","Delayed")</f>
        <v>0</v>
      </c>
    </row>
    <row r="305" spans="1:18">
      <c r="A305">
        <f>RAW_DATA!A305</f>
        <v>0</v>
      </c>
      <c r="B305">
        <f>RAW_DATA!B305</f>
        <v>0</v>
      </c>
      <c r="C305">
        <f>RAW_DATA!C305</f>
        <v>0</v>
      </c>
      <c r="D305">
        <f>RAW_DATA!D305</f>
        <v>0</v>
      </c>
      <c r="E305">
        <f>RAW_DATA!E305</f>
        <v>0</v>
      </c>
      <c r="F305">
        <f>RAW_DATA!F305</f>
        <v>0</v>
      </c>
      <c r="G305">
        <f>RAW_DATA!G305</f>
        <v>0</v>
      </c>
      <c r="H305">
        <f>RAW_DATA!H305</f>
        <v>0</v>
      </c>
      <c r="I305">
        <f>RAW_DATA!I305</f>
        <v>0</v>
      </c>
      <c r="J305">
        <f>RAW_DATA!J305</f>
        <v>0</v>
      </c>
      <c r="K305">
        <f>RAW_DATA!K305</f>
        <v>0</v>
      </c>
      <c r="L305">
        <f>RAW_DATA!L305</f>
        <v>0</v>
      </c>
      <c r="M305">
        <f>H305*I305</f>
        <v>0</v>
      </c>
      <c r="N305">
        <f>ISOWEEKNUM(B305)</f>
        <v>0</v>
      </c>
      <c r="O305">
        <f>TEXT(B305,"mmm")</f>
        <v>0</v>
      </c>
      <c r="P305">
        <f>"Q"&amp;ROUNDUP(MONTH(B305)/3,0)</f>
        <v>0</v>
      </c>
      <c r="Q305">
        <f>IF(J305&gt;=4,"High",IF(J305&gt;=3,"Medium","Low"))</f>
        <v>0</v>
      </c>
      <c r="R305">
        <f>IF(K305&lt;=5,"On Time","Delayed")</f>
        <v>0</v>
      </c>
    </row>
    <row r="306" spans="1:18">
      <c r="A306">
        <f>RAW_DATA!A306</f>
        <v>0</v>
      </c>
      <c r="B306">
        <f>RAW_DATA!B306</f>
        <v>0</v>
      </c>
      <c r="C306">
        <f>RAW_DATA!C306</f>
        <v>0</v>
      </c>
      <c r="D306">
        <f>RAW_DATA!D306</f>
        <v>0</v>
      </c>
      <c r="E306">
        <f>RAW_DATA!E306</f>
        <v>0</v>
      </c>
      <c r="F306">
        <f>RAW_DATA!F306</f>
        <v>0</v>
      </c>
      <c r="G306">
        <f>RAW_DATA!G306</f>
        <v>0</v>
      </c>
      <c r="H306">
        <f>RAW_DATA!H306</f>
        <v>0</v>
      </c>
      <c r="I306">
        <f>RAW_DATA!I306</f>
        <v>0</v>
      </c>
      <c r="J306">
        <f>RAW_DATA!J306</f>
        <v>0</v>
      </c>
      <c r="K306">
        <f>RAW_DATA!K306</f>
        <v>0</v>
      </c>
      <c r="L306">
        <f>RAW_DATA!L306</f>
        <v>0</v>
      </c>
      <c r="M306">
        <f>H306*I306</f>
        <v>0</v>
      </c>
      <c r="N306">
        <f>ISOWEEKNUM(B306)</f>
        <v>0</v>
      </c>
      <c r="O306">
        <f>TEXT(B306,"mmm")</f>
        <v>0</v>
      </c>
      <c r="P306">
        <f>"Q"&amp;ROUNDUP(MONTH(B306)/3,0)</f>
        <v>0</v>
      </c>
      <c r="Q306">
        <f>IF(J306&gt;=4,"High",IF(J306&gt;=3,"Medium","Low"))</f>
        <v>0</v>
      </c>
      <c r="R306">
        <f>IF(K306&lt;=5,"On Time","Delayed")</f>
        <v>0</v>
      </c>
    </row>
    <row r="307" spans="1:18">
      <c r="A307">
        <f>RAW_DATA!A307</f>
        <v>0</v>
      </c>
      <c r="B307">
        <f>RAW_DATA!B307</f>
        <v>0</v>
      </c>
      <c r="C307">
        <f>RAW_DATA!C307</f>
        <v>0</v>
      </c>
      <c r="D307">
        <f>RAW_DATA!D307</f>
        <v>0</v>
      </c>
      <c r="E307">
        <f>RAW_DATA!E307</f>
        <v>0</v>
      </c>
      <c r="F307">
        <f>RAW_DATA!F307</f>
        <v>0</v>
      </c>
      <c r="G307">
        <f>RAW_DATA!G307</f>
        <v>0</v>
      </c>
      <c r="H307">
        <f>RAW_DATA!H307</f>
        <v>0</v>
      </c>
      <c r="I307">
        <f>RAW_DATA!I307</f>
        <v>0</v>
      </c>
      <c r="J307">
        <f>RAW_DATA!J307</f>
        <v>0</v>
      </c>
      <c r="K307">
        <f>RAW_DATA!K307</f>
        <v>0</v>
      </c>
      <c r="L307">
        <f>RAW_DATA!L307</f>
        <v>0</v>
      </c>
      <c r="M307">
        <f>H307*I307</f>
        <v>0</v>
      </c>
      <c r="N307">
        <f>ISOWEEKNUM(B307)</f>
        <v>0</v>
      </c>
      <c r="O307">
        <f>TEXT(B307,"mmm")</f>
        <v>0</v>
      </c>
      <c r="P307">
        <f>"Q"&amp;ROUNDUP(MONTH(B307)/3,0)</f>
        <v>0</v>
      </c>
      <c r="Q307">
        <f>IF(J307&gt;=4,"High",IF(J307&gt;=3,"Medium","Low"))</f>
        <v>0</v>
      </c>
      <c r="R307">
        <f>IF(K307&lt;=5,"On Time","Delayed")</f>
        <v>0</v>
      </c>
    </row>
    <row r="308" spans="1:18">
      <c r="A308">
        <f>RAW_DATA!A308</f>
        <v>0</v>
      </c>
      <c r="B308">
        <f>RAW_DATA!B308</f>
        <v>0</v>
      </c>
      <c r="C308">
        <f>RAW_DATA!C308</f>
        <v>0</v>
      </c>
      <c r="D308">
        <f>RAW_DATA!D308</f>
        <v>0</v>
      </c>
      <c r="E308">
        <f>RAW_DATA!E308</f>
        <v>0</v>
      </c>
      <c r="F308">
        <f>RAW_DATA!F308</f>
        <v>0</v>
      </c>
      <c r="G308">
        <f>RAW_DATA!G308</f>
        <v>0</v>
      </c>
      <c r="H308">
        <f>RAW_DATA!H308</f>
        <v>0</v>
      </c>
      <c r="I308">
        <f>RAW_DATA!I308</f>
        <v>0</v>
      </c>
      <c r="J308">
        <f>RAW_DATA!J308</f>
        <v>0</v>
      </c>
      <c r="K308">
        <f>RAW_DATA!K308</f>
        <v>0</v>
      </c>
      <c r="L308">
        <f>RAW_DATA!L308</f>
        <v>0</v>
      </c>
      <c r="M308">
        <f>H308*I308</f>
        <v>0</v>
      </c>
      <c r="N308">
        <f>ISOWEEKNUM(B308)</f>
        <v>0</v>
      </c>
      <c r="O308">
        <f>TEXT(B308,"mmm")</f>
        <v>0</v>
      </c>
      <c r="P308">
        <f>"Q"&amp;ROUNDUP(MONTH(B308)/3,0)</f>
        <v>0</v>
      </c>
      <c r="Q308">
        <f>IF(J308&gt;=4,"High",IF(J308&gt;=3,"Medium","Low"))</f>
        <v>0</v>
      </c>
      <c r="R308">
        <f>IF(K308&lt;=5,"On Time","Delayed")</f>
        <v>0</v>
      </c>
    </row>
    <row r="309" spans="1:18">
      <c r="A309">
        <f>RAW_DATA!A309</f>
        <v>0</v>
      </c>
      <c r="B309">
        <f>RAW_DATA!B309</f>
        <v>0</v>
      </c>
      <c r="C309">
        <f>RAW_DATA!C309</f>
        <v>0</v>
      </c>
      <c r="D309">
        <f>RAW_DATA!D309</f>
        <v>0</v>
      </c>
      <c r="E309">
        <f>RAW_DATA!E309</f>
        <v>0</v>
      </c>
      <c r="F309">
        <f>RAW_DATA!F309</f>
        <v>0</v>
      </c>
      <c r="G309">
        <f>RAW_DATA!G309</f>
        <v>0</v>
      </c>
      <c r="H309">
        <f>RAW_DATA!H309</f>
        <v>0</v>
      </c>
      <c r="I309">
        <f>RAW_DATA!I309</f>
        <v>0</v>
      </c>
      <c r="J309">
        <f>RAW_DATA!J309</f>
        <v>0</v>
      </c>
      <c r="K309">
        <f>RAW_DATA!K309</f>
        <v>0</v>
      </c>
      <c r="L309">
        <f>RAW_DATA!L309</f>
        <v>0</v>
      </c>
      <c r="M309">
        <f>H309*I309</f>
        <v>0</v>
      </c>
      <c r="N309">
        <f>ISOWEEKNUM(B309)</f>
        <v>0</v>
      </c>
      <c r="O309">
        <f>TEXT(B309,"mmm")</f>
        <v>0</v>
      </c>
      <c r="P309">
        <f>"Q"&amp;ROUNDUP(MONTH(B309)/3,0)</f>
        <v>0</v>
      </c>
      <c r="Q309">
        <f>IF(J309&gt;=4,"High",IF(J309&gt;=3,"Medium","Low"))</f>
        <v>0</v>
      </c>
      <c r="R309">
        <f>IF(K309&lt;=5,"On Time","Delayed")</f>
        <v>0</v>
      </c>
    </row>
    <row r="310" spans="1:18">
      <c r="A310">
        <f>RAW_DATA!A310</f>
        <v>0</v>
      </c>
      <c r="B310">
        <f>RAW_DATA!B310</f>
        <v>0</v>
      </c>
      <c r="C310">
        <f>RAW_DATA!C310</f>
        <v>0</v>
      </c>
      <c r="D310">
        <f>RAW_DATA!D310</f>
        <v>0</v>
      </c>
      <c r="E310">
        <f>RAW_DATA!E310</f>
        <v>0</v>
      </c>
      <c r="F310">
        <f>RAW_DATA!F310</f>
        <v>0</v>
      </c>
      <c r="G310">
        <f>RAW_DATA!G310</f>
        <v>0</v>
      </c>
      <c r="H310">
        <f>RAW_DATA!H310</f>
        <v>0</v>
      </c>
      <c r="I310">
        <f>RAW_DATA!I310</f>
        <v>0</v>
      </c>
      <c r="J310">
        <f>RAW_DATA!J310</f>
        <v>0</v>
      </c>
      <c r="K310">
        <f>RAW_DATA!K310</f>
        <v>0</v>
      </c>
      <c r="L310">
        <f>RAW_DATA!L310</f>
        <v>0</v>
      </c>
      <c r="M310">
        <f>H310*I310</f>
        <v>0</v>
      </c>
      <c r="N310">
        <f>ISOWEEKNUM(B310)</f>
        <v>0</v>
      </c>
      <c r="O310">
        <f>TEXT(B310,"mmm")</f>
        <v>0</v>
      </c>
      <c r="P310">
        <f>"Q"&amp;ROUNDUP(MONTH(B310)/3,0)</f>
        <v>0</v>
      </c>
      <c r="Q310">
        <f>IF(J310&gt;=4,"High",IF(J310&gt;=3,"Medium","Low"))</f>
        <v>0</v>
      </c>
      <c r="R310">
        <f>IF(K310&lt;=5,"On Time","Delayed")</f>
        <v>0</v>
      </c>
    </row>
    <row r="311" spans="1:18">
      <c r="A311">
        <f>RAW_DATA!A311</f>
        <v>0</v>
      </c>
      <c r="B311">
        <f>RAW_DATA!B311</f>
        <v>0</v>
      </c>
      <c r="C311">
        <f>RAW_DATA!C311</f>
        <v>0</v>
      </c>
      <c r="D311">
        <f>RAW_DATA!D311</f>
        <v>0</v>
      </c>
      <c r="E311">
        <f>RAW_DATA!E311</f>
        <v>0</v>
      </c>
      <c r="F311">
        <f>RAW_DATA!F311</f>
        <v>0</v>
      </c>
      <c r="G311">
        <f>RAW_DATA!G311</f>
        <v>0</v>
      </c>
      <c r="H311">
        <f>RAW_DATA!H311</f>
        <v>0</v>
      </c>
      <c r="I311">
        <f>RAW_DATA!I311</f>
        <v>0</v>
      </c>
      <c r="J311">
        <f>RAW_DATA!J311</f>
        <v>0</v>
      </c>
      <c r="K311">
        <f>RAW_DATA!K311</f>
        <v>0</v>
      </c>
      <c r="L311">
        <f>RAW_DATA!L311</f>
        <v>0</v>
      </c>
      <c r="M311">
        <f>H311*I311</f>
        <v>0</v>
      </c>
      <c r="N311">
        <f>ISOWEEKNUM(B311)</f>
        <v>0</v>
      </c>
      <c r="O311">
        <f>TEXT(B311,"mmm")</f>
        <v>0</v>
      </c>
      <c r="P311">
        <f>"Q"&amp;ROUNDUP(MONTH(B311)/3,0)</f>
        <v>0</v>
      </c>
      <c r="Q311">
        <f>IF(J311&gt;=4,"High",IF(J311&gt;=3,"Medium","Low"))</f>
        <v>0</v>
      </c>
      <c r="R311">
        <f>IF(K311&lt;=5,"On Time","Delayed")</f>
        <v>0</v>
      </c>
    </row>
    <row r="312" spans="1:18">
      <c r="A312">
        <f>RAW_DATA!A312</f>
        <v>0</v>
      </c>
      <c r="B312">
        <f>RAW_DATA!B312</f>
        <v>0</v>
      </c>
      <c r="C312">
        <f>RAW_DATA!C312</f>
        <v>0</v>
      </c>
      <c r="D312">
        <f>RAW_DATA!D312</f>
        <v>0</v>
      </c>
      <c r="E312">
        <f>RAW_DATA!E312</f>
        <v>0</v>
      </c>
      <c r="F312">
        <f>RAW_DATA!F312</f>
        <v>0</v>
      </c>
      <c r="G312">
        <f>RAW_DATA!G312</f>
        <v>0</v>
      </c>
      <c r="H312">
        <f>RAW_DATA!H312</f>
        <v>0</v>
      </c>
      <c r="I312">
        <f>RAW_DATA!I312</f>
        <v>0</v>
      </c>
      <c r="J312">
        <f>RAW_DATA!J312</f>
        <v>0</v>
      </c>
      <c r="K312">
        <f>RAW_DATA!K312</f>
        <v>0</v>
      </c>
      <c r="L312">
        <f>RAW_DATA!L312</f>
        <v>0</v>
      </c>
      <c r="M312">
        <f>H312*I312</f>
        <v>0</v>
      </c>
      <c r="N312">
        <f>ISOWEEKNUM(B312)</f>
        <v>0</v>
      </c>
      <c r="O312">
        <f>TEXT(B312,"mmm")</f>
        <v>0</v>
      </c>
      <c r="P312">
        <f>"Q"&amp;ROUNDUP(MONTH(B312)/3,0)</f>
        <v>0</v>
      </c>
      <c r="Q312">
        <f>IF(J312&gt;=4,"High",IF(J312&gt;=3,"Medium","Low"))</f>
        <v>0</v>
      </c>
      <c r="R312">
        <f>IF(K312&lt;=5,"On Time","Delayed")</f>
        <v>0</v>
      </c>
    </row>
    <row r="313" spans="1:18">
      <c r="A313">
        <f>RAW_DATA!A313</f>
        <v>0</v>
      </c>
      <c r="B313">
        <f>RAW_DATA!B313</f>
        <v>0</v>
      </c>
      <c r="C313">
        <f>RAW_DATA!C313</f>
        <v>0</v>
      </c>
      <c r="D313">
        <f>RAW_DATA!D313</f>
        <v>0</v>
      </c>
      <c r="E313">
        <f>RAW_DATA!E313</f>
        <v>0</v>
      </c>
      <c r="F313">
        <f>RAW_DATA!F313</f>
        <v>0</v>
      </c>
      <c r="G313">
        <f>RAW_DATA!G313</f>
        <v>0</v>
      </c>
      <c r="H313">
        <f>RAW_DATA!H313</f>
        <v>0</v>
      </c>
      <c r="I313">
        <f>RAW_DATA!I313</f>
        <v>0</v>
      </c>
      <c r="J313">
        <f>RAW_DATA!J313</f>
        <v>0</v>
      </c>
      <c r="K313">
        <f>RAW_DATA!K313</f>
        <v>0</v>
      </c>
      <c r="L313">
        <f>RAW_DATA!L313</f>
        <v>0</v>
      </c>
      <c r="M313">
        <f>H313*I313</f>
        <v>0</v>
      </c>
      <c r="N313">
        <f>ISOWEEKNUM(B313)</f>
        <v>0</v>
      </c>
      <c r="O313">
        <f>TEXT(B313,"mmm")</f>
        <v>0</v>
      </c>
      <c r="P313">
        <f>"Q"&amp;ROUNDUP(MONTH(B313)/3,0)</f>
        <v>0</v>
      </c>
      <c r="Q313">
        <f>IF(J313&gt;=4,"High",IF(J313&gt;=3,"Medium","Low"))</f>
        <v>0</v>
      </c>
      <c r="R313">
        <f>IF(K313&lt;=5,"On Time","Delayed")</f>
        <v>0</v>
      </c>
    </row>
    <row r="314" spans="1:18">
      <c r="A314">
        <f>RAW_DATA!A314</f>
        <v>0</v>
      </c>
      <c r="B314">
        <f>RAW_DATA!B314</f>
        <v>0</v>
      </c>
      <c r="C314">
        <f>RAW_DATA!C314</f>
        <v>0</v>
      </c>
      <c r="D314">
        <f>RAW_DATA!D314</f>
        <v>0</v>
      </c>
      <c r="E314">
        <f>RAW_DATA!E314</f>
        <v>0</v>
      </c>
      <c r="F314">
        <f>RAW_DATA!F314</f>
        <v>0</v>
      </c>
      <c r="G314">
        <f>RAW_DATA!G314</f>
        <v>0</v>
      </c>
      <c r="H314">
        <f>RAW_DATA!H314</f>
        <v>0</v>
      </c>
      <c r="I314">
        <f>RAW_DATA!I314</f>
        <v>0</v>
      </c>
      <c r="J314">
        <f>RAW_DATA!J314</f>
        <v>0</v>
      </c>
      <c r="K314">
        <f>RAW_DATA!K314</f>
        <v>0</v>
      </c>
      <c r="L314">
        <f>RAW_DATA!L314</f>
        <v>0</v>
      </c>
      <c r="M314">
        <f>H314*I314</f>
        <v>0</v>
      </c>
      <c r="N314">
        <f>ISOWEEKNUM(B314)</f>
        <v>0</v>
      </c>
      <c r="O314">
        <f>TEXT(B314,"mmm")</f>
        <v>0</v>
      </c>
      <c r="P314">
        <f>"Q"&amp;ROUNDUP(MONTH(B314)/3,0)</f>
        <v>0</v>
      </c>
      <c r="Q314">
        <f>IF(J314&gt;=4,"High",IF(J314&gt;=3,"Medium","Low"))</f>
        <v>0</v>
      </c>
      <c r="R314">
        <f>IF(K314&lt;=5,"On Time","Delayed")</f>
        <v>0</v>
      </c>
    </row>
    <row r="315" spans="1:18">
      <c r="A315">
        <f>RAW_DATA!A315</f>
        <v>0</v>
      </c>
      <c r="B315">
        <f>RAW_DATA!B315</f>
        <v>0</v>
      </c>
      <c r="C315">
        <f>RAW_DATA!C315</f>
        <v>0</v>
      </c>
      <c r="D315">
        <f>RAW_DATA!D315</f>
        <v>0</v>
      </c>
      <c r="E315">
        <f>RAW_DATA!E315</f>
        <v>0</v>
      </c>
      <c r="F315">
        <f>RAW_DATA!F315</f>
        <v>0</v>
      </c>
      <c r="G315">
        <f>RAW_DATA!G315</f>
        <v>0</v>
      </c>
      <c r="H315">
        <f>RAW_DATA!H315</f>
        <v>0</v>
      </c>
      <c r="I315">
        <f>RAW_DATA!I315</f>
        <v>0</v>
      </c>
      <c r="J315">
        <f>RAW_DATA!J315</f>
        <v>0</v>
      </c>
      <c r="K315">
        <f>RAW_DATA!K315</f>
        <v>0</v>
      </c>
      <c r="L315">
        <f>RAW_DATA!L315</f>
        <v>0</v>
      </c>
      <c r="M315">
        <f>H315*I315</f>
        <v>0</v>
      </c>
      <c r="N315">
        <f>ISOWEEKNUM(B315)</f>
        <v>0</v>
      </c>
      <c r="O315">
        <f>TEXT(B315,"mmm")</f>
        <v>0</v>
      </c>
      <c r="P315">
        <f>"Q"&amp;ROUNDUP(MONTH(B315)/3,0)</f>
        <v>0</v>
      </c>
      <c r="Q315">
        <f>IF(J315&gt;=4,"High",IF(J315&gt;=3,"Medium","Low"))</f>
        <v>0</v>
      </c>
      <c r="R315">
        <f>IF(K315&lt;=5,"On Time","Delayed")</f>
        <v>0</v>
      </c>
    </row>
    <row r="316" spans="1:18">
      <c r="A316">
        <f>RAW_DATA!A316</f>
        <v>0</v>
      </c>
      <c r="B316">
        <f>RAW_DATA!B316</f>
        <v>0</v>
      </c>
      <c r="C316">
        <f>RAW_DATA!C316</f>
        <v>0</v>
      </c>
      <c r="D316">
        <f>RAW_DATA!D316</f>
        <v>0</v>
      </c>
      <c r="E316">
        <f>RAW_DATA!E316</f>
        <v>0</v>
      </c>
      <c r="F316">
        <f>RAW_DATA!F316</f>
        <v>0</v>
      </c>
      <c r="G316">
        <f>RAW_DATA!G316</f>
        <v>0</v>
      </c>
      <c r="H316">
        <f>RAW_DATA!H316</f>
        <v>0</v>
      </c>
      <c r="I316">
        <f>RAW_DATA!I316</f>
        <v>0</v>
      </c>
      <c r="J316">
        <f>RAW_DATA!J316</f>
        <v>0</v>
      </c>
      <c r="K316">
        <f>RAW_DATA!K316</f>
        <v>0</v>
      </c>
      <c r="L316">
        <f>RAW_DATA!L316</f>
        <v>0</v>
      </c>
      <c r="M316">
        <f>H316*I316</f>
        <v>0</v>
      </c>
      <c r="N316">
        <f>ISOWEEKNUM(B316)</f>
        <v>0</v>
      </c>
      <c r="O316">
        <f>TEXT(B316,"mmm")</f>
        <v>0</v>
      </c>
      <c r="P316">
        <f>"Q"&amp;ROUNDUP(MONTH(B316)/3,0)</f>
        <v>0</v>
      </c>
      <c r="Q316">
        <f>IF(J316&gt;=4,"High",IF(J316&gt;=3,"Medium","Low"))</f>
        <v>0</v>
      </c>
      <c r="R316">
        <f>IF(K316&lt;=5,"On Time","Delayed")</f>
        <v>0</v>
      </c>
    </row>
    <row r="317" spans="1:18">
      <c r="A317">
        <f>RAW_DATA!A317</f>
        <v>0</v>
      </c>
      <c r="B317">
        <f>RAW_DATA!B317</f>
        <v>0</v>
      </c>
      <c r="C317">
        <f>RAW_DATA!C317</f>
        <v>0</v>
      </c>
      <c r="D317">
        <f>RAW_DATA!D317</f>
        <v>0</v>
      </c>
      <c r="E317">
        <f>RAW_DATA!E317</f>
        <v>0</v>
      </c>
      <c r="F317">
        <f>RAW_DATA!F317</f>
        <v>0</v>
      </c>
      <c r="G317">
        <f>RAW_DATA!G317</f>
        <v>0</v>
      </c>
      <c r="H317">
        <f>RAW_DATA!H317</f>
        <v>0</v>
      </c>
      <c r="I317">
        <f>RAW_DATA!I317</f>
        <v>0</v>
      </c>
      <c r="J317">
        <f>RAW_DATA!J317</f>
        <v>0</v>
      </c>
      <c r="K317">
        <f>RAW_DATA!K317</f>
        <v>0</v>
      </c>
      <c r="L317">
        <f>RAW_DATA!L317</f>
        <v>0</v>
      </c>
      <c r="M317">
        <f>H317*I317</f>
        <v>0</v>
      </c>
      <c r="N317">
        <f>ISOWEEKNUM(B317)</f>
        <v>0</v>
      </c>
      <c r="O317">
        <f>TEXT(B317,"mmm")</f>
        <v>0</v>
      </c>
      <c r="P317">
        <f>"Q"&amp;ROUNDUP(MONTH(B317)/3,0)</f>
        <v>0</v>
      </c>
      <c r="Q317">
        <f>IF(J317&gt;=4,"High",IF(J317&gt;=3,"Medium","Low"))</f>
        <v>0</v>
      </c>
      <c r="R317">
        <f>IF(K317&lt;=5,"On Time","Delayed")</f>
        <v>0</v>
      </c>
    </row>
    <row r="318" spans="1:18">
      <c r="A318">
        <f>RAW_DATA!A318</f>
        <v>0</v>
      </c>
      <c r="B318">
        <f>RAW_DATA!B318</f>
        <v>0</v>
      </c>
      <c r="C318">
        <f>RAW_DATA!C318</f>
        <v>0</v>
      </c>
      <c r="D318">
        <f>RAW_DATA!D318</f>
        <v>0</v>
      </c>
      <c r="E318">
        <f>RAW_DATA!E318</f>
        <v>0</v>
      </c>
      <c r="F318">
        <f>RAW_DATA!F318</f>
        <v>0</v>
      </c>
      <c r="G318">
        <f>RAW_DATA!G318</f>
        <v>0</v>
      </c>
      <c r="H318">
        <f>RAW_DATA!H318</f>
        <v>0</v>
      </c>
      <c r="I318">
        <f>RAW_DATA!I318</f>
        <v>0</v>
      </c>
      <c r="J318">
        <f>RAW_DATA!J318</f>
        <v>0</v>
      </c>
      <c r="K318">
        <f>RAW_DATA!K318</f>
        <v>0</v>
      </c>
      <c r="L318">
        <f>RAW_DATA!L318</f>
        <v>0</v>
      </c>
      <c r="M318">
        <f>H318*I318</f>
        <v>0</v>
      </c>
      <c r="N318">
        <f>ISOWEEKNUM(B318)</f>
        <v>0</v>
      </c>
      <c r="O318">
        <f>TEXT(B318,"mmm")</f>
        <v>0</v>
      </c>
      <c r="P318">
        <f>"Q"&amp;ROUNDUP(MONTH(B318)/3,0)</f>
        <v>0</v>
      </c>
      <c r="Q318">
        <f>IF(J318&gt;=4,"High",IF(J318&gt;=3,"Medium","Low"))</f>
        <v>0</v>
      </c>
      <c r="R318">
        <f>IF(K318&lt;=5,"On Time","Delayed")</f>
        <v>0</v>
      </c>
    </row>
    <row r="319" spans="1:18">
      <c r="A319">
        <f>RAW_DATA!A319</f>
        <v>0</v>
      </c>
      <c r="B319">
        <f>RAW_DATA!B319</f>
        <v>0</v>
      </c>
      <c r="C319">
        <f>RAW_DATA!C319</f>
        <v>0</v>
      </c>
      <c r="D319">
        <f>RAW_DATA!D319</f>
        <v>0</v>
      </c>
      <c r="E319">
        <f>RAW_DATA!E319</f>
        <v>0</v>
      </c>
      <c r="F319">
        <f>RAW_DATA!F319</f>
        <v>0</v>
      </c>
      <c r="G319">
        <f>RAW_DATA!G319</f>
        <v>0</v>
      </c>
      <c r="H319">
        <f>RAW_DATA!H319</f>
        <v>0</v>
      </c>
      <c r="I319">
        <f>RAW_DATA!I319</f>
        <v>0</v>
      </c>
      <c r="J319">
        <f>RAW_DATA!J319</f>
        <v>0</v>
      </c>
      <c r="K319">
        <f>RAW_DATA!K319</f>
        <v>0</v>
      </c>
      <c r="L319">
        <f>RAW_DATA!L319</f>
        <v>0</v>
      </c>
      <c r="M319">
        <f>H319*I319</f>
        <v>0</v>
      </c>
      <c r="N319">
        <f>ISOWEEKNUM(B319)</f>
        <v>0</v>
      </c>
      <c r="O319">
        <f>TEXT(B319,"mmm")</f>
        <v>0</v>
      </c>
      <c r="P319">
        <f>"Q"&amp;ROUNDUP(MONTH(B319)/3,0)</f>
        <v>0</v>
      </c>
      <c r="Q319">
        <f>IF(J319&gt;=4,"High",IF(J319&gt;=3,"Medium","Low"))</f>
        <v>0</v>
      </c>
      <c r="R319">
        <f>IF(K319&lt;=5,"On Time","Delayed")</f>
        <v>0</v>
      </c>
    </row>
    <row r="320" spans="1:18">
      <c r="A320">
        <f>RAW_DATA!A320</f>
        <v>0</v>
      </c>
      <c r="B320">
        <f>RAW_DATA!B320</f>
        <v>0</v>
      </c>
      <c r="C320">
        <f>RAW_DATA!C320</f>
        <v>0</v>
      </c>
      <c r="D320">
        <f>RAW_DATA!D320</f>
        <v>0</v>
      </c>
      <c r="E320">
        <f>RAW_DATA!E320</f>
        <v>0</v>
      </c>
      <c r="F320">
        <f>RAW_DATA!F320</f>
        <v>0</v>
      </c>
      <c r="G320">
        <f>RAW_DATA!G320</f>
        <v>0</v>
      </c>
      <c r="H320">
        <f>RAW_DATA!H320</f>
        <v>0</v>
      </c>
      <c r="I320">
        <f>RAW_DATA!I320</f>
        <v>0</v>
      </c>
      <c r="J320">
        <f>RAW_DATA!J320</f>
        <v>0</v>
      </c>
      <c r="K320">
        <f>RAW_DATA!K320</f>
        <v>0</v>
      </c>
      <c r="L320">
        <f>RAW_DATA!L320</f>
        <v>0</v>
      </c>
      <c r="M320">
        <f>H320*I320</f>
        <v>0</v>
      </c>
      <c r="N320">
        <f>ISOWEEKNUM(B320)</f>
        <v>0</v>
      </c>
      <c r="O320">
        <f>TEXT(B320,"mmm")</f>
        <v>0</v>
      </c>
      <c r="P320">
        <f>"Q"&amp;ROUNDUP(MONTH(B320)/3,0)</f>
        <v>0</v>
      </c>
      <c r="Q320">
        <f>IF(J320&gt;=4,"High",IF(J320&gt;=3,"Medium","Low"))</f>
        <v>0</v>
      </c>
      <c r="R320">
        <f>IF(K320&lt;=5,"On Time","Delayed")</f>
        <v>0</v>
      </c>
    </row>
    <row r="321" spans="1:18">
      <c r="A321">
        <f>RAW_DATA!A321</f>
        <v>0</v>
      </c>
      <c r="B321">
        <f>RAW_DATA!B321</f>
        <v>0</v>
      </c>
      <c r="C321">
        <f>RAW_DATA!C321</f>
        <v>0</v>
      </c>
      <c r="D321">
        <f>RAW_DATA!D321</f>
        <v>0</v>
      </c>
      <c r="E321">
        <f>RAW_DATA!E321</f>
        <v>0</v>
      </c>
      <c r="F321">
        <f>RAW_DATA!F321</f>
        <v>0</v>
      </c>
      <c r="G321">
        <f>RAW_DATA!G321</f>
        <v>0</v>
      </c>
      <c r="H321">
        <f>RAW_DATA!H321</f>
        <v>0</v>
      </c>
      <c r="I321">
        <f>RAW_DATA!I321</f>
        <v>0</v>
      </c>
      <c r="J321">
        <f>RAW_DATA!J321</f>
        <v>0</v>
      </c>
      <c r="K321">
        <f>RAW_DATA!K321</f>
        <v>0</v>
      </c>
      <c r="L321">
        <f>RAW_DATA!L321</f>
        <v>0</v>
      </c>
      <c r="M321">
        <f>H321*I321</f>
        <v>0</v>
      </c>
      <c r="N321">
        <f>ISOWEEKNUM(B321)</f>
        <v>0</v>
      </c>
      <c r="O321">
        <f>TEXT(B321,"mmm")</f>
        <v>0</v>
      </c>
      <c r="P321">
        <f>"Q"&amp;ROUNDUP(MONTH(B321)/3,0)</f>
        <v>0</v>
      </c>
      <c r="Q321">
        <f>IF(J321&gt;=4,"High",IF(J321&gt;=3,"Medium","Low"))</f>
        <v>0</v>
      </c>
      <c r="R321">
        <f>IF(K321&lt;=5,"On Time","Delayed")</f>
        <v>0</v>
      </c>
    </row>
    <row r="322" spans="1:18">
      <c r="A322">
        <f>RAW_DATA!A322</f>
        <v>0</v>
      </c>
      <c r="B322">
        <f>RAW_DATA!B322</f>
        <v>0</v>
      </c>
      <c r="C322">
        <f>RAW_DATA!C322</f>
        <v>0</v>
      </c>
      <c r="D322">
        <f>RAW_DATA!D322</f>
        <v>0</v>
      </c>
      <c r="E322">
        <f>RAW_DATA!E322</f>
        <v>0</v>
      </c>
      <c r="F322">
        <f>RAW_DATA!F322</f>
        <v>0</v>
      </c>
      <c r="G322">
        <f>RAW_DATA!G322</f>
        <v>0</v>
      </c>
      <c r="H322">
        <f>RAW_DATA!H322</f>
        <v>0</v>
      </c>
      <c r="I322">
        <f>RAW_DATA!I322</f>
        <v>0</v>
      </c>
      <c r="J322">
        <f>RAW_DATA!J322</f>
        <v>0</v>
      </c>
      <c r="K322">
        <f>RAW_DATA!K322</f>
        <v>0</v>
      </c>
      <c r="L322">
        <f>RAW_DATA!L322</f>
        <v>0</v>
      </c>
      <c r="M322">
        <f>H322*I322</f>
        <v>0</v>
      </c>
      <c r="N322">
        <f>ISOWEEKNUM(B322)</f>
        <v>0</v>
      </c>
      <c r="O322">
        <f>TEXT(B322,"mmm")</f>
        <v>0</v>
      </c>
      <c r="P322">
        <f>"Q"&amp;ROUNDUP(MONTH(B322)/3,0)</f>
        <v>0</v>
      </c>
      <c r="Q322">
        <f>IF(J322&gt;=4,"High",IF(J322&gt;=3,"Medium","Low"))</f>
        <v>0</v>
      </c>
      <c r="R322">
        <f>IF(K322&lt;=5,"On Time","Delayed")</f>
        <v>0</v>
      </c>
    </row>
    <row r="323" spans="1:18">
      <c r="A323">
        <f>RAW_DATA!A323</f>
        <v>0</v>
      </c>
      <c r="B323">
        <f>RAW_DATA!B323</f>
        <v>0</v>
      </c>
      <c r="C323">
        <f>RAW_DATA!C323</f>
        <v>0</v>
      </c>
      <c r="D323">
        <f>RAW_DATA!D323</f>
        <v>0</v>
      </c>
      <c r="E323">
        <f>RAW_DATA!E323</f>
        <v>0</v>
      </c>
      <c r="F323">
        <f>RAW_DATA!F323</f>
        <v>0</v>
      </c>
      <c r="G323">
        <f>RAW_DATA!G323</f>
        <v>0</v>
      </c>
      <c r="H323">
        <f>RAW_DATA!H323</f>
        <v>0</v>
      </c>
      <c r="I323">
        <f>RAW_DATA!I323</f>
        <v>0</v>
      </c>
      <c r="J323">
        <f>RAW_DATA!J323</f>
        <v>0</v>
      </c>
      <c r="K323">
        <f>RAW_DATA!K323</f>
        <v>0</v>
      </c>
      <c r="L323">
        <f>RAW_DATA!L323</f>
        <v>0</v>
      </c>
      <c r="M323">
        <f>H323*I323</f>
        <v>0</v>
      </c>
      <c r="N323">
        <f>ISOWEEKNUM(B323)</f>
        <v>0</v>
      </c>
      <c r="O323">
        <f>TEXT(B323,"mmm")</f>
        <v>0</v>
      </c>
      <c r="P323">
        <f>"Q"&amp;ROUNDUP(MONTH(B323)/3,0)</f>
        <v>0</v>
      </c>
      <c r="Q323">
        <f>IF(J323&gt;=4,"High",IF(J323&gt;=3,"Medium","Low"))</f>
        <v>0</v>
      </c>
      <c r="R323">
        <f>IF(K323&lt;=5,"On Time","Delayed")</f>
        <v>0</v>
      </c>
    </row>
    <row r="324" spans="1:18">
      <c r="A324">
        <f>RAW_DATA!A324</f>
        <v>0</v>
      </c>
      <c r="B324">
        <f>RAW_DATA!B324</f>
        <v>0</v>
      </c>
      <c r="C324">
        <f>RAW_DATA!C324</f>
        <v>0</v>
      </c>
      <c r="D324">
        <f>RAW_DATA!D324</f>
        <v>0</v>
      </c>
      <c r="E324">
        <f>RAW_DATA!E324</f>
        <v>0</v>
      </c>
      <c r="F324">
        <f>RAW_DATA!F324</f>
        <v>0</v>
      </c>
      <c r="G324">
        <f>RAW_DATA!G324</f>
        <v>0</v>
      </c>
      <c r="H324">
        <f>RAW_DATA!H324</f>
        <v>0</v>
      </c>
      <c r="I324">
        <f>RAW_DATA!I324</f>
        <v>0</v>
      </c>
      <c r="J324">
        <f>RAW_DATA!J324</f>
        <v>0</v>
      </c>
      <c r="K324">
        <f>RAW_DATA!K324</f>
        <v>0</v>
      </c>
      <c r="L324">
        <f>RAW_DATA!L324</f>
        <v>0</v>
      </c>
      <c r="M324">
        <f>H324*I324</f>
        <v>0</v>
      </c>
      <c r="N324">
        <f>ISOWEEKNUM(B324)</f>
        <v>0</v>
      </c>
      <c r="O324">
        <f>TEXT(B324,"mmm")</f>
        <v>0</v>
      </c>
      <c r="P324">
        <f>"Q"&amp;ROUNDUP(MONTH(B324)/3,0)</f>
        <v>0</v>
      </c>
      <c r="Q324">
        <f>IF(J324&gt;=4,"High",IF(J324&gt;=3,"Medium","Low"))</f>
        <v>0</v>
      </c>
      <c r="R324">
        <f>IF(K324&lt;=5,"On Time","Delayed")</f>
        <v>0</v>
      </c>
    </row>
    <row r="325" spans="1:18">
      <c r="A325">
        <f>RAW_DATA!A325</f>
        <v>0</v>
      </c>
      <c r="B325">
        <f>RAW_DATA!B325</f>
        <v>0</v>
      </c>
      <c r="C325">
        <f>RAW_DATA!C325</f>
        <v>0</v>
      </c>
      <c r="D325">
        <f>RAW_DATA!D325</f>
        <v>0</v>
      </c>
      <c r="E325">
        <f>RAW_DATA!E325</f>
        <v>0</v>
      </c>
      <c r="F325">
        <f>RAW_DATA!F325</f>
        <v>0</v>
      </c>
      <c r="G325">
        <f>RAW_DATA!G325</f>
        <v>0</v>
      </c>
      <c r="H325">
        <f>RAW_DATA!H325</f>
        <v>0</v>
      </c>
      <c r="I325">
        <f>RAW_DATA!I325</f>
        <v>0</v>
      </c>
      <c r="J325">
        <f>RAW_DATA!J325</f>
        <v>0</v>
      </c>
      <c r="K325">
        <f>RAW_DATA!K325</f>
        <v>0</v>
      </c>
      <c r="L325">
        <f>RAW_DATA!L325</f>
        <v>0</v>
      </c>
      <c r="M325">
        <f>H325*I325</f>
        <v>0</v>
      </c>
      <c r="N325">
        <f>ISOWEEKNUM(B325)</f>
        <v>0</v>
      </c>
      <c r="O325">
        <f>TEXT(B325,"mmm")</f>
        <v>0</v>
      </c>
      <c r="P325">
        <f>"Q"&amp;ROUNDUP(MONTH(B325)/3,0)</f>
        <v>0</v>
      </c>
      <c r="Q325">
        <f>IF(J325&gt;=4,"High",IF(J325&gt;=3,"Medium","Low"))</f>
        <v>0</v>
      </c>
      <c r="R325">
        <f>IF(K325&lt;=5,"On Time","Delayed")</f>
        <v>0</v>
      </c>
    </row>
    <row r="326" spans="1:18">
      <c r="A326">
        <f>RAW_DATA!A326</f>
        <v>0</v>
      </c>
      <c r="B326">
        <f>RAW_DATA!B326</f>
        <v>0</v>
      </c>
      <c r="C326">
        <f>RAW_DATA!C326</f>
        <v>0</v>
      </c>
      <c r="D326">
        <f>RAW_DATA!D326</f>
        <v>0</v>
      </c>
      <c r="E326">
        <f>RAW_DATA!E326</f>
        <v>0</v>
      </c>
      <c r="F326">
        <f>RAW_DATA!F326</f>
        <v>0</v>
      </c>
      <c r="G326">
        <f>RAW_DATA!G326</f>
        <v>0</v>
      </c>
      <c r="H326">
        <f>RAW_DATA!H326</f>
        <v>0</v>
      </c>
      <c r="I326">
        <f>RAW_DATA!I326</f>
        <v>0</v>
      </c>
      <c r="J326">
        <f>RAW_DATA!J326</f>
        <v>0</v>
      </c>
      <c r="K326">
        <f>RAW_DATA!K326</f>
        <v>0</v>
      </c>
      <c r="L326">
        <f>RAW_DATA!L326</f>
        <v>0</v>
      </c>
      <c r="M326">
        <f>H326*I326</f>
        <v>0</v>
      </c>
      <c r="N326">
        <f>ISOWEEKNUM(B326)</f>
        <v>0</v>
      </c>
      <c r="O326">
        <f>TEXT(B326,"mmm")</f>
        <v>0</v>
      </c>
      <c r="P326">
        <f>"Q"&amp;ROUNDUP(MONTH(B326)/3,0)</f>
        <v>0</v>
      </c>
      <c r="Q326">
        <f>IF(J326&gt;=4,"High",IF(J326&gt;=3,"Medium","Low"))</f>
        <v>0</v>
      </c>
      <c r="R326">
        <f>IF(K326&lt;=5,"On Time","Delayed")</f>
        <v>0</v>
      </c>
    </row>
    <row r="327" spans="1:18">
      <c r="A327">
        <f>RAW_DATA!A327</f>
        <v>0</v>
      </c>
      <c r="B327">
        <f>RAW_DATA!B327</f>
        <v>0</v>
      </c>
      <c r="C327">
        <f>RAW_DATA!C327</f>
        <v>0</v>
      </c>
      <c r="D327">
        <f>RAW_DATA!D327</f>
        <v>0</v>
      </c>
      <c r="E327">
        <f>RAW_DATA!E327</f>
        <v>0</v>
      </c>
      <c r="F327">
        <f>RAW_DATA!F327</f>
        <v>0</v>
      </c>
      <c r="G327">
        <f>RAW_DATA!G327</f>
        <v>0</v>
      </c>
      <c r="H327">
        <f>RAW_DATA!H327</f>
        <v>0</v>
      </c>
      <c r="I327">
        <f>RAW_DATA!I327</f>
        <v>0</v>
      </c>
      <c r="J327">
        <f>RAW_DATA!J327</f>
        <v>0</v>
      </c>
      <c r="K327">
        <f>RAW_DATA!K327</f>
        <v>0</v>
      </c>
      <c r="L327">
        <f>RAW_DATA!L327</f>
        <v>0</v>
      </c>
      <c r="M327">
        <f>H327*I327</f>
        <v>0</v>
      </c>
      <c r="N327">
        <f>ISOWEEKNUM(B327)</f>
        <v>0</v>
      </c>
      <c r="O327">
        <f>TEXT(B327,"mmm")</f>
        <v>0</v>
      </c>
      <c r="P327">
        <f>"Q"&amp;ROUNDUP(MONTH(B327)/3,0)</f>
        <v>0</v>
      </c>
      <c r="Q327">
        <f>IF(J327&gt;=4,"High",IF(J327&gt;=3,"Medium","Low"))</f>
        <v>0</v>
      </c>
      <c r="R327">
        <f>IF(K327&lt;=5,"On Time","Delayed")</f>
        <v>0</v>
      </c>
    </row>
    <row r="328" spans="1:18">
      <c r="A328">
        <f>RAW_DATA!A328</f>
        <v>0</v>
      </c>
      <c r="B328">
        <f>RAW_DATA!B328</f>
        <v>0</v>
      </c>
      <c r="C328">
        <f>RAW_DATA!C328</f>
        <v>0</v>
      </c>
      <c r="D328">
        <f>RAW_DATA!D328</f>
        <v>0</v>
      </c>
      <c r="E328">
        <f>RAW_DATA!E328</f>
        <v>0</v>
      </c>
      <c r="F328">
        <f>RAW_DATA!F328</f>
        <v>0</v>
      </c>
      <c r="G328">
        <f>RAW_DATA!G328</f>
        <v>0</v>
      </c>
      <c r="H328">
        <f>RAW_DATA!H328</f>
        <v>0</v>
      </c>
      <c r="I328">
        <f>RAW_DATA!I328</f>
        <v>0</v>
      </c>
      <c r="J328">
        <f>RAW_DATA!J328</f>
        <v>0</v>
      </c>
      <c r="K328">
        <f>RAW_DATA!K328</f>
        <v>0</v>
      </c>
      <c r="L328">
        <f>RAW_DATA!L328</f>
        <v>0</v>
      </c>
      <c r="M328">
        <f>H328*I328</f>
        <v>0</v>
      </c>
      <c r="N328">
        <f>ISOWEEKNUM(B328)</f>
        <v>0</v>
      </c>
      <c r="O328">
        <f>TEXT(B328,"mmm")</f>
        <v>0</v>
      </c>
      <c r="P328">
        <f>"Q"&amp;ROUNDUP(MONTH(B328)/3,0)</f>
        <v>0</v>
      </c>
      <c r="Q328">
        <f>IF(J328&gt;=4,"High",IF(J328&gt;=3,"Medium","Low"))</f>
        <v>0</v>
      </c>
      <c r="R328">
        <f>IF(K328&lt;=5,"On Time","Delayed")</f>
        <v>0</v>
      </c>
    </row>
    <row r="329" spans="1:18">
      <c r="A329">
        <f>RAW_DATA!A329</f>
        <v>0</v>
      </c>
      <c r="B329">
        <f>RAW_DATA!B329</f>
        <v>0</v>
      </c>
      <c r="C329">
        <f>RAW_DATA!C329</f>
        <v>0</v>
      </c>
      <c r="D329">
        <f>RAW_DATA!D329</f>
        <v>0</v>
      </c>
      <c r="E329">
        <f>RAW_DATA!E329</f>
        <v>0</v>
      </c>
      <c r="F329">
        <f>RAW_DATA!F329</f>
        <v>0</v>
      </c>
      <c r="G329">
        <f>RAW_DATA!G329</f>
        <v>0</v>
      </c>
      <c r="H329">
        <f>RAW_DATA!H329</f>
        <v>0</v>
      </c>
      <c r="I329">
        <f>RAW_DATA!I329</f>
        <v>0</v>
      </c>
      <c r="J329">
        <f>RAW_DATA!J329</f>
        <v>0</v>
      </c>
      <c r="K329">
        <f>RAW_DATA!K329</f>
        <v>0</v>
      </c>
      <c r="L329">
        <f>RAW_DATA!L329</f>
        <v>0</v>
      </c>
      <c r="M329">
        <f>H329*I329</f>
        <v>0</v>
      </c>
      <c r="N329">
        <f>ISOWEEKNUM(B329)</f>
        <v>0</v>
      </c>
      <c r="O329">
        <f>TEXT(B329,"mmm")</f>
        <v>0</v>
      </c>
      <c r="P329">
        <f>"Q"&amp;ROUNDUP(MONTH(B329)/3,0)</f>
        <v>0</v>
      </c>
      <c r="Q329">
        <f>IF(J329&gt;=4,"High",IF(J329&gt;=3,"Medium","Low"))</f>
        <v>0</v>
      </c>
      <c r="R329">
        <f>IF(K329&lt;=5,"On Time","Delayed")</f>
        <v>0</v>
      </c>
    </row>
    <row r="330" spans="1:18">
      <c r="A330">
        <f>RAW_DATA!A330</f>
        <v>0</v>
      </c>
      <c r="B330">
        <f>RAW_DATA!B330</f>
        <v>0</v>
      </c>
      <c r="C330">
        <f>RAW_DATA!C330</f>
        <v>0</v>
      </c>
      <c r="D330">
        <f>RAW_DATA!D330</f>
        <v>0</v>
      </c>
      <c r="E330">
        <f>RAW_DATA!E330</f>
        <v>0</v>
      </c>
      <c r="F330">
        <f>RAW_DATA!F330</f>
        <v>0</v>
      </c>
      <c r="G330">
        <f>RAW_DATA!G330</f>
        <v>0</v>
      </c>
      <c r="H330">
        <f>RAW_DATA!H330</f>
        <v>0</v>
      </c>
      <c r="I330">
        <f>RAW_DATA!I330</f>
        <v>0</v>
      </c>
      <c r="J330">
        <f>RAW_DATA!J330</f>
        <v>0</v>
      </c>
      <c r="K330">
        <f>RAW_DATA!K330</f>
        <v>0</v>
      </c>
      <c r="L330">
        <f>RAW_DATA!L330</f>
        <v>0</v>
      </c>
      <c r="M330">
        <f>H330*I330</f>
        <v>0</v>
      </c>
      <c r="N330">
        <f>ISOWEEKNUM(B330)</f>
        <v>0</v>
      </c>
      <c r="O330">
        <f>TEXT(B330,"mmm")</f>
        <v>0</v>
      </c>
      <c r="P330">
        <f>"Q"&amp;ROUNDUP(MONTH(B330)/3,0)</f>
        <v>0</v>
      </c>
      <c r="Q330">
        <f>IF(J330&gt;=4,"High",IF(J330&gt;=3,"Medium","Low"))</f>
        <v>0</v>
      </c>
      <c r="R330">
        <f>IF(K330&lt;=5,"On Time","Delayed")</f>
        <v>0</v>
      </c>
    </row>
    <row r="331" spans="1:18">
      <c r="A331">
        <f>RAW_DATA!A331</f>
        <v>0</v>
      </c>
      <c r="B331">
        <f>RAW_DATA!B331</f>
        <v>0</v>
      </c>
      <c r="C331">
        <f>RAW_DATA!C331</f>
        <v>0</v>
      </c>
      <c r="D331">
        <f>RAW_DATA!D331</f>
        <v>0</v>
      </c>
      <c r="E331">
        <f>RAW_DATA!E331</f>
        <v>0</v>
      </c>
      <c r="F331">
        <f>RAW_DATA!F331</f>
        <v>0</v>
      </c>
      <c r="G331">
        <f>RAW_DATA!G331</f>
        <v>0</v>
      </c>
      <c r="H331">
        <f>RAW_DATA!H331</f>
        <v>0</v>
      </c>
      <c r="I331">
        <f>RAW_DATA!I331</f>
        <v>0</v>
      </c>
      <c r="J331">
        <f>RAW_DATA!J331</f>
        <v>0</v>
      </c>
      <c r="K331">
        <f>RAW_DATA!K331</f>
        <v>0</v>
      </c>
      <c r="L331">
        <f>RAW_DATA!L331</f>
        <v>0</v>
      </c>
      <c r="M331">
        <f>H331*I331</f>
        <v>0</v>
      </c>
      <c r="N331">
        <f>ISOWEEKNUM(B331)</f>
        <v>0</v>
      </c>
      <c r="O331">
        <f>TEXT(B331,"mmm")</f>
        <v>0</v>
      </c>
      <c r="P331">
        <f>"Q"&amp;ROUNDUP(MONTH(B331)/3,0)</f>
        <v>0</v>
      </c>
      <c r="Q331">
        <f>IF(J331&gt;=4,"High",IF(J331&gt;=3,"Medium","Low"))</f>
        <v>0</v>
      </c>
      <c r="R331">
        <f>IF(K331&lt;=5,"On Time","Delayed")</f>
        <v>0</v>
      </c>
    </row>
    <row r="332" spans="1:18">
      <c r="A332">
        <f>RAW_DATA!A332</f>
        <v>0</v>
      </c>
      <c r="B332">
        <f>RAW_DATA!B332</f>
        <v>0</v>
      </c>
      <c r="C332">
        <f>RAW_DATA!C332</f>
        <v>0</v>
      </c>
      <c r="D332">
        <f>RAW_DATA!D332</f>
        <v>0</v>
      </c>
      <c r="E332">
        <f>RAW_DATA!E332</f>
        <v>0</v>
      </c>
      <c r="F332">
        <f>RAW_DATA!F332</f>
        <v>0</v>
      </c>
      <c r="G332">
        <f>RAW_DATA!G332</f>
        <v>0</v>
      </c>
      <c r="H332">
        <f>RAW_DATA!H332</f>
        <v>0</v>
      </c>
      <c r="I332">
        <f>RAW_DATA!I332</f>
        <v>0</v>
      </c>
      <c r="J332">
        <f>RAW_DATA!J332</f>
        <v>0</v>
      </c>
      <c r="K332">
        <f>RAW_DATA!K332</f>
        <v>0</v>
      </c>
      <c r="L332">
        <f>RAW_DATA!L332</f>
        <v>0</v>
      </c>
      <c r="M332">
        <f>H332*I332</f>
        <v>0</v>
      </c>
      <c r="N332">
        <f>ISOWEEKNUM(B332)</f>
        <v>0</v>
      </c>
      <c r="O332">
        <f>TEXT(B332,"mmm")</f>
        <v>0</v>
      </c>
      <c r="P332">
        <f>"Q"&amp;ROUNDUP(MONTH(B332)/3,0)</f>
        <v>0</v>
      </c>
      <c r="Q332">
        <f>IF(J332&gt;=4,"High",IF(J332&gt;=3,"Medium","Low"))</f>
        <v>0</v>
      </c>
      <c r="R332">
        <f>IF(K332&lt;=5,"On Time","Delayed")</f>
        <v>0</v>
      </c>
    </row>
    <row r="333" spans="1:18">
      <c r="A333">
        <f>RAW_DATA!A333</f>
        <v>0</v>
      </c>
      <c r="B333">
        <f>RAW_DATA!B333</f>
        <v>0</v>
      </c>
      <c r="C333">
        <f>RAW_DATA!C333</f>
        <v>0</v>
      </c>
      <c r="D333">
        <f>RAW_DATA!D333</f>
        <v>0</v>
      </c>
      <c r="E333">
        <f>RAW_DATA!E333</f>
        <v>0</v>
      </c>
      <c r="F333">
        <f>RAW_DATA!F333</f>
        <v>0</v>
      </c>
      <c r="G333">
        <f>RAW_DATA!G333</f>
        <v>0</v>
      </c>
      <c r="H333">
        <f>RAW_DATA!H333</f>
        <v>0</v>
      </c>
      <c r="I333">
        <f>RAW_DATA!I333</f>
        <v>0</v>
      </c>
      <c r="J333">
        <f>RAW_DATA!J333</f>
        <v>0</v>
      </c>
      <c r="K333">
        <f>RAW_DATA!K333</f>
        <v>0</v>
      </c>
      <c r="L333">
        <f>RAW_DATA!L333</f>
        <v>0</v>
      </c>
      <c r="M333">
        <f>H333*I333</f>
        <v>0</v>
      </c>
      <c r="N333">
        <f>ISOWEEKNUM(B333)</f>
        <v>0</v>
      </c>
      <c r="O333">
        <f>TEXT(B333,"mmm")</f>
        <v>0</v>
      </c>
      <c r="P333">
        <f>"Q"&amp;ROUNDUP(MONTH(B333)/3,0)</f>
        <v>0</v>
      </c>
      <c r="Q333">
        <f>IF(J333&gt;=4,"High",IF(J333&gt;=3,"Medium","Low"))</f>
        <v>0</v>
      </c>
      <c r="R333">
        <f>IF(K333&lt;=5,"On Time","Delayed")</f>
        <v>0</v>
      </c>
    </row>
    <row r="334" spans="1:18">
      <c r="A334">
        <f>RAW_DATA!A334</f>
        <v>0</v>
      </c>
      <c r="B334">
        <f>RAW_DATA!B334</f>
        <v>0</v>
      </c>
      <c r="C334">
        <f>RAW_DATA!C334</f>
        <v>0</v>
      </c>
      <c r="D334">
        <f>RAW_DATA!D334</f>
        <v>0</v>
      </c>
      <c r="E334">
        <f>RAW_DATA!E334</f>
        <v>0</v>
      </c>
      <c r="F334">
        <f>RAW_DATA!F334</f>
        <v>0</v>
      </c>
      <c r="G334">
        <f>RAW_DATA!G334</f>
        <v>0</v>
      </c>
      <c r="H334">
        <f>RAW_DATA!H334</f>
        <v>0</v>
      </c>
      <c r="I334">
        <f>RAW_DATA!I334</f>
        <v>0</v>
      </c>
      <c r="J334">
        <f>RAW_DATA!J334</f>
        <v>0</v>
      </c>
      <c r="K334">
        <f>RAW_DATA!K334</f>
        <v>0</v>
      </c>
      <c r="L334">
        <f>RAW_DATA!L334</f>
        <v>0</v>
      </c>
      <c r="M334">
        <f>H334*I334</f>
        <v>0</v>
      </c>
      <c r="N334">
        <f>ISOWEEKNUM(B334)</f>
        <v>0</v>
      </c>
      <c r="O334">
        <f>TEXT(B334,"mmm")</f>
        <v>0</v>
      </c>
      <c r="P334">
        <f>"Q"&amp;ROUNDUP(MONTH(B334)/3,0)</f>
        <v>0</v>
      </c>
      <c r="Q334">
        <f>IF(J334&gt;=4,"High",IF(J334&gt;=3,"Medium","Low"))</f>
        <v>0</v>
      </c>
      <c r="R334">
        <f>IF(K334&lt;=5,"On Time","Delayed")</f>
        <v>0</v>
      </c>
    </row>
    <row r="335" spans="1:18">
      <c r="A335">
        <f>RAW_DATA!A335</f>
        <v>0</v>
      </c>
      <c r="B335">
        <f>RAW_DATA!B335</f>
        <v>0</v>
      </c>
      <c r="C335">
        <f>RAW_DATA!C335</f>
        <v>0</v>
      </c>
      <c r="D335">
        <f>RAW_DATA!D335</f>
        <v>0</v>
      </c>
      <c r="E335">
        <f>RAW_DATA!E335</f>
        <v>0</v>
      </c>
      <c r="F335">
        <f>RAW_DATA!F335</f>
        <v>0</v>
      </c>
      <c r="G335">
        <f>RAW_DATA!G335</f>
        <v>0</v>
      </c>
      <c r="H335">
        <f>RAW_DATA!H335</f>
        <v>0</v>
      </c>
      <c r="I335">
        <f>RAW_DATA!I335</f>
        <v>0</v>
      </c>
      <c r="J335">
        <f>RAW_DATA!J335</f>
        <v>0</v>
      </c>
      <c r="K335">
        <f>RAW_DATA!K335</f>
        <v>0</v>
      </c>
      <c r="L335">
        <f>RAW_DATA!L335</f>
        <v>0</v>
      </c>
      <c r="M335">
        <f>H335*I335</f>
        <v>0</v>
      </c>
      <c r="N335">
        <f>ISOWEEKNUM(B335)</f>
        <v>0</v>
      </c>
      <c r="O335">
        <f>TEXT(B335,"mmm")</f>
        <v>0</v>
      </c>
      <c r="P335">
        <f>"Q"&amp;ROUNDUP(MONTH(B335)/3,0)</f>
        <v>0</v>
      </c>
      <c r="Q335">
        <f>IF(J335&gt;=4,"High",IF(J335&gt;=3,"Medium","Low"))</f>
        <v>0</v>
      </c>
      <c r="R335">
        <f>IF(K335&lt;=5,"On Time","Delayed")</f>
        <v>0</v>
      </c>
    </row>
    <row r="336" spans="1:18">
      <c r="A336">
        <f>RAW_DATA!A336</f>
        <v>0</v>
      </c>
      <c r="B336">
        <f>RAW_DATA!B336</f>
        <v>0</v>
      </c>
      <c r="C336">
        <f>RAW_DATA!C336</f>
        <v>0</v>
      </c>
      <c r="D336">
        <f>RAW_DATA!D336</f>
        <v>0</v>
      </c>
      <c r="E336">
        <f>RAW_DATA!E336</f>
        <v>0</v>
      </c>
      <c r="F336">
        <f>RAW_DATA!F336</f>
        <v>0</v>
      </c>
      <c r="G336">
        <f>RAW_DATA!G336</f>
        <v>0</v>
      </c>
      <c r="H336">
        <f>RAW_DATA!H336</f>
        <v>0</v>
      </c>
      <c r="I336">
        <f>RAW_DATA!I336</f>
        <v>0</v>
      </c>
      <c r="J336">
        <f>RAW_DATA!J336</f>
        <v>0</v>
      </c>
      <c r="K336">
        <f>RAW_DATA!K336</f>
        <v>0</v>
      </c>
      <c r="L336">
        <f>RAW_DATA!L336</f>
        <v>0</v>
      </c>
      <c r="M336">
        <f>H336*I336</f>
        <v>0</v>
      </c>
      <c r="N336">
        <f>ISOWEEKNUM(B336)</f>
        <v>0</v>
      </c>
      <c r="O336">
        <f>TEXT(B336,"mmm")</f>
        <v>0</v>
      </c>
      <c r="P336">
        <f>"Q"&amp;ROUNDUP(MONTH(B336)/3,0)</f>
        <v>0</v>
      </c>
      <c r="Q336">
        <f>IF(J336&gt;=4,"High",IF(J336&gt;=3,"Medium","Low"))</f>
        <v>0</v>
      </c>
      <c r="R336">
        <f>IF(K336&lt;=5,"On Time","Delayed")</f>
        <v>0</v>
      </c>
    </row>
    <row r="337" spans="1:18">
      <c r="A337">
        <f>RAW_DATA!A337</f>
        <v>0</v>
      </c>
      <c r="B337">
        <f>RAW_DATA!B337</f>
        <v>0</v>
      </c>
      <c r="C337">
        <f>RAW_DATA!C337</f>
        <v>0</v>
      </c>
      <c r="D337">
        <f>RAW_DATA!D337</f>
        <v>0</v>
      </c>
      <c r="E337">
        <f>RAW_DATA!E337</f>
        <v>0</v>
      </c>
      <c r="F337">
        <f>RAW_DATA!F337</f>
        <v>0</v>
      </c>
      <c r="G337">
        <f>RAW_DATA!G337</f>
        <v>0</v>
      </c>
      <c r="H337">
        <f>RAW_DATA!H337</f>
        <v>0</v>
      </c>
      <c r="I337">
        <f>RAW_DATA!I337</f>
        <v>0</v>
      </c>
      <c r="J337">
        <f>RAW_DATA!J337</f>
        <v>0</v>
      </c>
      <c r="K337">
        <f>RAW_DATA!K337</f>
        <v>0</v>
      </c>
      <c r="L337">
        <f>RAW_DATA!L337</f>
        <v>0</v>
      </c>
      <c r="M337">
        <f>H337*I337</f>
        <v>0</v>
      </c>
      <c r="N337">
        <f>ISOWEEKNUM(B337)</f>
        <v>0</v>
      </c>
      <c r="O337">
        <f>TEXT(B337,"mmm")</f>
        <v>0</v>
      </c>
      <c r="P337">
        <f>"Q"&amp;ROUNDUP(MONTH(B337)/3,0)</f>
        <v>0</v>
      </c>
      <c r="Q337">
        <f>IF(J337&gt;=4,"High",IF(J337&gt;=3,"Medium","Low"))</f>
        <v>0</v>
      </c>
      <c r="R337">
        <f>IF(K337&lt;=5,"On Time","Delayed")</f>
        <v>0</v>
      </c>
    </row>
    <row r="338" spans="1:18">
      <c r="A338">
        <f>RAW_DATA!A338</f>
        <v>0</v>
      </c>
      <c r="B338">
        <f>RAW_DATA!B338</f>
        <v>0</v>
      </c>
      <c r="C338">
        <f>RAW_DATA!C338</f>
        <v>0</v>
      </c>
      <c r="D338">
        <f>RAW_DATA!D338</f>
        <v>0</v>
      </c>
      <c r="E338">
        <f>RAW_DATA!E338</f>
        <v>0</v>
      </c>
      <c r="F338">
        <f>RAW_DATA!F338</f>
        <v>0</v>
      </c>
      <c r="G338">
        <f>RAW_DATA!G338</f>
        <v>0</v>
      </c>
      <c r="H338">
        <f>RAW_DATA!H338</f>
        <v>0</v>
      </c>
      <c r="I338">
        <f>RAW_DATA!I338</f>
        <v>0</v>
      </c>
      <c r="J338">
        <f>RAW_DATA!J338</f>
        <v>0</v>
      </c>
      <c r="K338">
        <f>RAW_DATA!K338</f>
        <v>0</v>
      </c>
      <c r="L338">
        <f>RAW_DATA!L338</f>
        <v>0</v>
      </c>
      <c r="M338">
        <f>H338*I338</f>
        <v>0</v>
      </c>
      <c r="N338">
        <f>ISOWEEKNUM(B338)</f>
        <v>0</v>
      </c>
      <c r="O338">
        <f>TEXT(B338,"mmm")</f>
        <v>0</v>
      </c>
      <c r="P338">
        <f>"Q"&amp;ROUNDUP(MONTH(B338)/3,0)</f>
        <v>0</v>
      </c>
      <c r="Q338">
        <f>IF(J338&gt;=4,"High",IF(J338&gt;=3,"Medium","Low"))</f>
        <v>0</v>
      </c>
      <c r="R338">
        <f>IF(K338&lt;=5,"On Time","Delayed")</f>
        <v>0</v>
      </c>
    </row>
    <row r="339" spans="1:18">
      <c r="A339">
        <f>RAW_DATA!A339</f>
        <v>0</v>
      </c>
      <c r="B339">
        <f>RAW_DATA!B339</f>
        <v>0</v>
      </c>
      <c r="C339">
        <f>RAW_DATA!C339</f>
        <v>0</v>
      </c>
      <c r="D339">
        <f>RAW_DATA!D339</f>
        <v>0</v>
      </c>
      <c r="E339">
        <f>RAW_DATA!E339</f>
        <v>0</v>
      </c>
      <c r="F339">
        <f>RAW_DATA!F339</f>
        <v>0</v>
      </c>
      <c r="G339">
        <f>RAW_DATA!G339</f>
        <v>0</v>
      </c>
      <c r="H339">
        <f>RAW_DATA!H339</f>
        <v>0</v>
      </c>
      <c r="I339">
        <f>RAW_DATA!I339</f>
        <v>0</v>
      </c>
      <c r="J339">
        <f>RAW_DATA!J339</f>
        <v>0</v>
      </c>
      <c r="K339">
        <f>RAW_DATA!K339</f>
        <v>0</v>
      </c>
      <c r="L339">
        <f>RAW_DATA!L339</f>
        <v>0</v>
      </c>
      <c r="M339">
        <f>H339*I339</f>
        <v>0</v>
      </c>
      <c r="N339">
        <f>ISOWEEKNUM(B339)</f>
        <v>0</v>
      </c>
      <c r="O339">
        <f>TEXT(B339,"mmm")</f>
        <v>0</v>
      </c>
      <c r="P339">
        <f>"Q"&amp;ROUNDUP(MONTH(B339)/3,0)</f>
        <v>0</v>
      </c>
      <c r="Q339">
        <f>IF(J339&gt;=4,"High",IF(J339&gt;=3,"Medium","Low"))</f>
        <v>0</v>
      </c>
      <c r="R339">
        <f>IF(K339&lt;=5,"On Time","Delayed")</f>
        <v>0</v>
      </c>
    </row>
    <row r="340" spans="1:18">
      <c r="A340">
        <f>RAW_DATA!A340</f>
        <v>0</v>
      </c>
      <c r="B340">
        <f>RAW_DATA!B340</f>
        <v>0</v>
      </c>
      <c r="C340">
        <f>RAW_DATA!C340</f>
        <v>0</v>
      </c>
      <c r="D340">
        <f>RAW_DATA!D340</f>
        <v>0</v>
      </c>
      <c r="E340">
        <f>RAW_DATA!E340</f>
        <v>0</v>
      </c>
      <c r="F340">
        <f>RAW_DATA!F340</f>
        <v>0</v>
      </c>
      <c r="G340">
        <f>RAW_DATA!G340</f>
        <v>0</v>
      </c>
      <c r="H340">
        <f>RAW_DATA!H340</f>
        <v>0</v>
      </c>
      <c r="I340">
        <f>RAW_DATA!I340</f>
        <v>0</v>
      </c>
      <c r="J340">
        <f>RAW_DATA!J340</f>
        <v>0</v>
      </c>
      <c r="K340">
        <f>RAW_DATA!K340</f>
        <v>0</v>
      </c>
      <c r="L340">
        <f>RAW_DATA!L340</f>
        <v>0</v>
      </c>
      <c r="M340">
        <f>H340*I340</f>
        <v>0</v>
      </c>
      <c r="N340">
        <f>ISOWEEKNUM(B340)</f>
        <v>0</v>
      </c>
      <c r="O340">
        <f>TEXT(B340,"mmm")</f>
        <v>0</v>
      </c>
      <c r="P340">
        <f>"Q"&amp;ROUNDUP(MONTH(B340)/3,0)</f>
        <v>0</v>
      </c>
      <c r="Q340">
        <f>IF(J340&gt;=4,"High",IF(J340&gt;=3,"Medium","Low"))</f>
        <v>0</v>
      </c>
      <c r="R340">
        <f>IF(K340&lt;=5,"On Time","Delayed")</f>
        <v>0</v>
      </c>
    </row>
    <row r="341" spans="1:18">
      <c r="A341">
        <f>RAW_DATA!A341</f>
        <v>0</v>
      </c>
      <c r="B341">
        <f>RAW_DATA!B341</f>
        <v>0</v>
      </c>
      <c r="C341">
        <f>RAW_DATA!C341</f>
        <v>0</v>
      </c>
      <c r="D341">
        <f>RAW_DATA!D341</f>
        <v>0</v>
      </c>
      <c r="E341">
        <f>RAW_DATA!E341</f>
        <v>0</v>
      </c>
      <c r="F341">
        <f>RAW_DATA!F341</f>
        <v>0</v>
      </c>
      <c r="G341">
        <f>RAW_DATA!G341</f>
        <v>0</v>
      </c>
      <c r="H341">
        <f>RAW_DATA!H341</f>
        <v>0</v>
      </c>
      <c r="I341">
        <f>RAW_DATA!I341</f>
        <v>0</v>
      </c>
      <c r="J341">
        <f>RAW_DATA!J341</f>
        <v>0</v>
      </c>
      <c r="K341">
        <f>RAW_DATA!K341</f>
        <v>0</v>
      </c>
      <c r="L341">
        <f>RAW_DATA!L341</f>
        <v>0</v>
      </c>
      <c r="M341">
        <f>H341*I341</f>
        <v>0</v>
      </c>
      <c r="N341">
        <f>ISOWEEKNUM(B341)</f>
        <v>0</v>
      </c>
      <c r="O341">
        <f>TEXT(B341,"mmm")</f>
        <v>0</v>
      </c>
      <c r="P341">
        <f>"Q"&amp;ROUNDUP(MONTH(B341)/3,0)</f>
        <v>0</v>
      </c>
      <c r="Q341">
        <f>IF(J341&gt;=4,"High",IF(J341&gt;=3,"Medium","Low"))</f>
        <v>0</v>
      </c>
      <c r="R341">
        <f>IF(K341&lt;=5,"On Time","Delayed")</f>
        <v>0</v>
      </c>
    </row>
    <row r="342" spans="1:18">
      <c r="A342">
        <f>RAW_DATA!A342</f>
        <v>0</v>
      </c>
      <c r="B342">
        <f>RAW_DATA!B342</f>
        <v>0</v>
      </c>
      <c r="C342">
        <f>RAW_DATA!C342</f>
        <v>0</v>
      </c>
      <c r="D342">
        <f>RAW_DATA!D342</f>
        <v>0</v>
      </c>
      <c r="E342">
        <f>RAW_DATA!E342</f>
        <v>0</v>
      </c>
      <c r="F342">
        <f>RAW_DATA!F342</f>
        <v>0</v>
      </c>
      <c r="G342">
        <f>RAW_DATA!G342</f>
        <v>0</v>
      </c>
      <c r="H342">
        <f>RAW_DATA!H342</f>
        <v>0</v>
      </c>
      <c r="I342">
        <f>RAW_DATA!I342</f>
        <v>0</v>
      </c>
      <c r="J342">
        <f>RAW_DATA!J342</f>
        <v>0</v>
      </c>
      <c r="K342">
        <f>RAW_DATA!K342</f>
        <v>0</v>
      </c>
      <c r="L342">
        <f>RAW_DATA!L342</f>
        <v>0</v>
      </c>
      <c r="M342">
        <f>H342*I342</f>
        <v>0</v>
      </c>
      <c r="N342">
        <f>ISOWEEKNUM(B342)</f>
        <v>0</v>
      </c>
      <c r="O342">
        <f>TEXT(B342,"mmm")</f>
        <v>0</v>
      </c>
      <c r="P342">
        <f>"Q"&amp;ROUNDUP(MONTH(B342)/3,0)</f>
        <v>0</v>
      </c>
      <c r="Q342">
        <f>IF(J342&gt;=4,"High",IF(J342&gt;=3,"Medium","Low"))</f>
        <v>0</v>
      </c>
      <c r="R342">
        <f>IF(K342&lt;=5,"On Time","Delayed")</f>
        <v>0</v>
      </c>
    </row>
    <row r="343" spans="1:18">
      <c r="A343">
        <f>RAW_DATA!A343</f>
        <v>0</v>
      </c>
      <c r="B343">
        <f>RAW_DATA!B343</f>
        <v>0</v>
      </c>
      <c r="C343">
        <f>RAW_DATA!C343</f>
        <v>0</v>
      </c>
      <c r="D343">
        <f>RAW_DATA!D343</f>
        <v>0</v>
      </c>
      <c r="E343">
        <f>RAW_DATA!E343</f>
        <v>0</v>
      </c>
      <c r="F343">
        <f>RAW_DATA!F343</f>
        <v>0</v>
      </c>
      <c r="G343">
        <f>RAW_DATA!G343</f>
        <v>0</v>
      </c>
      <c r="H343">
        <f>RAW_DATA!H343</f>
        <v>0</v>
      </c>
      <c r="I343">
        <f>RAW_DATA!I343</f>
        <v>0</v>
      </c>
      <c r="J343">
        <f>RAW_DATA!J343</f>
        <v>0</v>
      </c>
      <c r="K343">
        <f>RAW_DATA!K343</f>
        <v>0</v>
      </c>
      <c r="L343">
        <f>RAW_DATA!L343</f>
        <v>0</v>
      </c>
      <c r="M343">
        <f>H343*I343</f>
        <v>0</v>
      </c>
      <c r="N343">
        <f>ISOWEEKNUM(B343)</f>
        <v>0</v>
      </c>
      <c r="O343">
        <f>TEXT(B343,"mmm")</f>
        <v>0</v>
      </c>
      <c r="P343">
        <f>"Q"&amp;ROUNDUP(MONTH(B343)/3,0)</f>
        <v>0</v>
      </c>
      <c r="Q343">
        <f>IF(J343&gt;=4,"High",IF(J343&gt;=3,"Medium","Low"))</f>
        <v>0</v>
      </c>
      <c r="R343">
        <f>IF(K343&lt;=5,"On Time","Delayed")</f>
        <v>0</v>
      </c>
    </row>
    <row r="344" spans="1:18">
      <c r="A344">
        <f>RAW_DATA!A344</f>
        <v>0</v>
      </c>
      <c r="B344">
        <f>RAW_DATA!B344</f>
        <v>0</v>
      </c>
      <c r="C344">
        <f>RAW_DATA!C344</f>
        <v>0</v>
      </c>
      <c r="D344">
        <f>RAW_DATA!D344</f>
        <v>0</v>
      </c>
      <c r="E344">
        <f>RAW_DATA!E344</f>
        <v>0</v>
      </c>
      <c r="F344">
        <f>RAW_DATA!F344</f>
        <v>0</v>
      </c>
      <c r="G344">
        <f>RAW_DATA!G344</f>
        <v>0</v>
      </c>
      <c r="H344">
        <f>RAW_DATA!H344</f>
        <v>0</v>
      </c>
      <c r="I344">
        <f>RAW_DATA!I344</f>
        <v>0</v>
      </c>
      <c r="J344">
        <f>RAW_DATA!J344</f>
        <v>0</v>
      </c>
      <c r="K344">
        <f>RAW_DATA!K344</f>
        <v>0</v>
      </c>
      <c r="L344">
        <f>RAW_DATA!L344</f>
        <v>0</v>
      </c>
      <c r="M344">
        <f>H344*I344</f>
        <v>0</v>
      </c>
      <c r="N344">
        <f>ISOWEEKNUM(B344)</f>
        <v>0</v>
      </c>
      <c r="O344">
        <f>TEXT(B344,"mmm")</f>
        <v>0</v>
      </c>
      <c r="P344">
        <f>"Q"&amp;ROUNDUP(MONTH(B344)/3,0)</f>
        <v>0</v>
      </c>
      <c r="Q344">
        <f>IF(J344&gt;=4,"High",IF(J344&gt;=3,"Medium","Low"))</f>
        <v>0</v>
      </c>
      <c r="R344">
        <f>IF(K344&lt;=5,"On Time","Delayed")</f>
        <v>0</v>
      </c>
    </row>
    <row r="345" spans="1:18">
      <c r="A345">
        <f>RAW_DATA!A345</f>
        <v>0</v>
      </c>
      <c r="B345">
        <f>RAW_DATA!B345</f>
        <v>0</v>
      </c>
      <c r="C345">
        <f>RAW_DATA!C345</f>
        <v>0</v>
      </c>
      <c r="D345">
        <f>RAW_DATA!D345</f>
        <v>0</v>
      </c>
      <c r="E345">
        <f>RAW_DATA!E345</f>
        <v>0</v>
      </c>
      <c r="F345">
        <f>RAW_DATA!F345</f>
        <v>0</v>
      </c>
      <c r="G345">
        <f>RAW_DATA!G345</f>
        <v>0</v>
      </c>
      <c r="H345">
        <f>RAW_DATA!H345</f>
        <v>0</v>
      </c>
      <c r="I345">
        <f>RAW_DATA!I345</f>
        <v>0</v>
      </c>
      <c r="J345">
        <f>RAW_DATA!J345</f>
        <v>0</v>
      </c>
      <c r="K345">
        <f>RAW_DATA!K345</f>
        <v>0</v>
      </c>
      <c r="L345">
        <f>RAW_DATA!L345</f>
        <v>0</v>
      </c>
      <c r="M345">
        <f>H345*I345</f>
        <v>0</v>
      </c>
      <c r="N345">
        <f>ISOWEEKNUM(B345)</f>
        <v>0</v>
      </c>
      <c r="O345">
        <f>TEXT(B345,"mmm")</f>
        <v>0</v>
      </c>
      <c r="P345">
        <f>"Q"&amp;ROUNDUP(MONTH(B345)/3,0)</f>
        <v>0</v>
      </c>
      <c r="Q345">
        <f>IF(J345&gt;=4,"High",IF(J345&gt;=3,"Medium","Low"))</f>
        <v>0</v>
      </c>
      <c r="R345">
        <f>IF(K345&lt;=5,"On Time","Delayed")</f>
        <v>0</v>
      </c>
    </row>
    <row r="346" spans="1:18">
      <c r="A346">
        <f>RAW_DATA!A346</f>
        <v>0</v>
      </c>
      <c r="B346">
        <f>RAW_DATA!B346</f>
        <v>0</v>
      </c>
      <c r="C346">
        <f>RAW_DATA!C346</f>
        <v>0</v>
      </c>
      <c r="D346">
        <f>RAW_DATA!D346</f>
        <v>0</v>
      </c>
      <c r="E346">
        <f>RAW_DATA!E346</f>
        <v>0</v>
      </c>
      <c r="F346">
        <f>RAW_DATA!F346</f>
        <v>0</v>
      </c>
      <c r="G346">
        <f>RAW_DATA!G346</f>
        <v>0</v>
      </c>
      <c r="H346">
        <f>RAW_DATA!H346</f>
        <v>0</v>
      </c>
      <c r="I346">
        <f>RAW_DATA!I346</f>
        <v>0</v>
      </c>
      <c r="J346">
        <f>RAW_DATA!J346</f>
        <v>0</v>
      </c>
      <c r="K346">
        <f>RAW_DATA!K346</f>
        <v>0</v>
      </c>
      <c r="L346">
        <f>RAW_DATA!L346</f>
        <v>0</v>
      </c>
      <c r="M346">
        <f>H346*I346</f>
        <v>0</v>
      </c>
      <c r="N346">
        <f>ISOWEEKNUM(B346)</f>
        <v>0</v>
      </c>
      <c r="O346">
        <f>TEXT(B346,"mmm")</f>
        <v>0</v>
      </c>
      <c r="P346">
        <f>"Q"&amp;ROUNDUP(MONTH(B346)/3,0)</f>
        <v>0</v>
      </c>
      <c r="Q346">
        <f>IF(J346&gt;=4,"High",IF(J346&gt;=3,"Medium","Low"))</f>
        <v>0</v>
      </c>
      <c r="R346">
        <f>IF(K346&lt;=5,"On Time","Delayed")</f>
        <v>0</v>
      </c>
    </row>
    <row r="347" spans="1:18">
      <c r="A347">
        <f>RAW_DATA!A347</f>
        <v>0</v>
      </c>
      <c r="B347">
        <f>RAW_DATA!B347</f>
        <v>0</v>
      </c>
      <c r="C347">
        <f>RAW_DATA!C347</f>
        <v>0</v>
      </c>
      <c r="D347">
        <f>RAW_DATA!D347</f>
        <v>0</v>
      </c>
      <c r="E347">
        <f>RAW_DATA!E347</f>
        <v>0</v>
      </c>
      <c r="F347">
        <f>RAW_DATA!F347</f>
        <v>0</v>
      </c>
      <c r="G347">
        <f>RAW_DATA!G347</f>
        <v>0</v>
      </c>
      <c r="H347">
        <f>RAW_DATA!H347</f>
        <v>0</v>
      </c>
      <c r="I347">
        <f>RAW_DATA!I347</f>
        <v>0</v>
      </c>
      <c r="J347">
        <f>RAW_DATA!J347</f>
        <v>0</v>
      </c>
      <c r="K347">
        <f>RAW_DATA!K347</f>
        <v>0</v>
      </c>
      <c r="L347">
        <f>RAW_DATA!L347</f>
        <v>0</v>
      </c>
      <c r="M347">
        <f>H347*I347</f>
        <v>0</v>
      </c>
      <c r="N347">
        <f>ISOWEEKNUM(B347)</f>
        <v>0</v>
      </c>
      <c r="O347">
        <f>TEXT(B347,"mmm")</f>
        <v>0</v>
      </c>
      <c r="P347">
        <f>"Q"&amp;ROUNDUP(MONTH(B347)/3,0)</f>
        <v>0</v>
      </c>
      <c r="Q347">
        <f>IF(J347&gt;=4,"High",IF(J347&gt;=3,"Medium","Low"))</f>
        <v>0</v>
      </c>
      <c r="R347">
        <f>IF(K347&lt;=5,"On Time","Delayed")</f>
        <v>0</v>
      </c>
    </row>
    <row r="348" spans="1:18">
      <c r="A348">
        <f>RAW_DATA!A348</f>
        <v>0</v>
      </c>
      <c r="B348">
        <f>RAW_DATA!B348</f>
        <v>0</v>
      </c>
      <c r="C348">
        <f>RAW_DATA!C348</f>
        <v>0</v>
      </c>
      <c r="D348">
        <f>RAW_DATA!D348</f>
        <v>0</v>
      </c>
      <c r="E348">
        <f>RAW_DATA!E348</f>
        <v>0</v>
      </c>
      <c r="F348">
        <f>RAW_DATA!F348</f>
        <v>0</v>
      </c>
      <c r="G348">
        <f>RAW_DATA!G348</f>
        <v>0</v>
      </c>
      <c r="H348">
        <f>RAW_DATA!H348</f>
        <v>0</v>
      </c>
      <c r="I348">
        <f>RAW_DATA!I348</f>
        <v>0</v>
      </c>
      <c r="J348">
        <f>RAW_DATA!J348</f>
        <v>0</v>
      </c>
      <c r="K348">
        <f>RAW_DATA!K348</f>
        <v>0</v>
      </c>
      <c r="L348">
        <f>RAW_DATA!L348</f>
        <v>0</v>
      </c>
      <c r="M348">
        <f>H348*I348</f>
        <v>0</v>
      </c>
      <c r="N348">
        <f>ISOWEEKNUM(B348)</f>
        <v>0</v>
      </c>
      <c r="O348">
        <f>TEXT(B348,"mmm")</f>
        <v>0</v>
      </c>
      <c r="P348">
        <f>"Q"&amp;ROUNDUP(MONTH(B348)/3,0)</f>
        <v>0</v>
      </c>
      <c r="Q348">
        <f>IF(J348&gt;=4,"High",IF(J348&gt;=3,"Medium","Low"))</f>
        <v>0</v>
      </c>
      <c r="R348">
        <f>IF(K348&lt;=5,"On Time","Delayed")</f>
        <v>0</v>
      </c>
    </row>
    <row r="349" spans="1:18">
      <c r="A349">
        <f>RAW_DATA!A349</f>
        <v>0</v>
      </c>
      <c r="B349">
        <f>RAW_DATA!B349</f>
        <v>0</v>
      </c>
      <c r="C349">
        <f>RAW_DATA!C349</f>
        <v>0</v>
      </c>
      <c r="D349">
        <f>RAW_DATA!D349</f>
        <v>0</v>
      </c>
      <c r="E349">
        <f>RAW_DATA!E349</f>
        <v>0</v>
      </c>
      <c r="F349">
        <f>RAW_DATA!F349</f>
        <v>0</v>
      </c>
      <c r="G349">
        <f>RAW_DATA!G349</f>
        <v>0</v>
      </c>
      <c r="H349">
        <f>RAW_DATA!H349</f>
        <v>0</v>
      </c>
      <c r="I349">
        <f>RAW_DATA!I349</f>
        <v>0</v>
      </c>
      <c r="J349">
        <f>RAW_DATA!J349</f>
        <v>0</v>
      </c>
      <c r="K349">
        <f>RAW_DATA!K349</f>
        <v>0</v>
      </c>
      <c r="L349">
        <f>RAW_DATA!L349</f>
        <v>0</v>
      </c>
      <c r="M349">
        <f>H349*I349</f>
        <v>0</v>
      </c>
      <c r="N349">
        <f>ISOWEEKNUM(B349)</f>
        <v>0</v>
      </c>
      <c r="O349">
        <f>TEXT(B349,"mmm")</f>
        <v>0</v>
      </c>
      <c r="P349">
        <f>"Q"&amp;ROUNDUP(MONTH(B349)/3,0)</f>
        <v>0</v>
      </c>
      <c r="Q349">
        <f>IF(J349&gt;=4,"High",IF(J349&gt;=3,"Medium","Low"))</f>
        <v>0</v>
      </c>
      <c r="R349">
        <f>IF(K349&lt;=5,"On Time","Delayed")</f>
        <v>0</v>
      </c>
    </row>
    <row r="350" spans="1:18">
      <c r="A350">
        <f>RAW_DATA!A350</f>
        <v>0</v>
      </c>
      <c r="B350">
        <f>RAW_DATA!B350</f>
        <v>0</v>
      </c>
      <c r="C350">
        <f>RAW_DATA!C350</f>
        <v>0</v>
      </c>
      <c r="D350">
        <f>RAW_DATA!D350</f>
        <v>0</v>
      </c>
      <c r="E350">
        <f>RAW_DATA!E350</f>
        <v>0</v>
      </c>
      <c r="F350">
        <f>RAW_DATA!F350</f>
        <v>0</v>
      </c>
      <c r="G350">
        <f>RAW_DATA!G350</f>
        <v>0</v>
      </c>
      <c r="H350">
        <f>RAW_DATA!H350</f>
        <v>0</v>
      </c>
      <c r="I350">
        <f>RAW_DATA!I350</f>
        <v>0</v>
      </c>
      <c r="J350">
        <f>RAW_DATA!J350</f>
        <v>0</v>
      </c>
      <c r="K350">
        <f>RAW_DATA!K350</f>
        <v>0</v>
      </c>
      <c r="L350">
        <f>RAW_DATA!L350</f>
        <v>0</v>
      </c>
      <c r="M350">
        <f>H350*I350</f>
        <v>0</v>
      </c>
      <c r="N350">
        <f>ISOWEEKNUM(B350)</f>
        <v>0</v>
      </c>
      <c r="O350">
        <f>TEXT(B350,"mmm")</f>
        <v>0</v>
      </c>
      <c r="P350">
        <f>"Q"&amp;ROUNDUP(MONTH(B350)/3,0)</f>
        <v>0</v>
      </c>
      <c r="Q350">
        <f>IF(J350&gt;=4,"High",IF(J350&gt;=3,"Medium","Low"))</f>
        <v>0</v>
      </c>
      <c r="R350">
        <f>IF(K350&lt;=5,"On Time","Delayed")</f>
        <v>0</v>
      </c>
    </row>
    <row r="351" spans="1:18">
      <c r="A351">
        <f>RAW_DATA!A351</f>
        <v>0</v>
      </c>
      <c r="B351">
        <f>RAW_DATA!B351</f>
        <v>0</v>
      </c>
      <c r="C351">
        <f>RAW_DATA!C351</f>
        <v>0</v>
      </c>
      <c r="D351">
        <f>RAW_DATA!D351</f>
        <v>0</v>
      </c>
      <c r="E351">
        <f>RAW_DATA!E351</f>
        <v>0</v>
      </c>
      <c r="F351">
        <f>RAW_DATA!F351</f>
        <v>0</v>
      </c>
      <c r="G351">
        <f>RAW_DATA!G351</f>
        <v>0</v>
      </c>
      <c r="H351">
        <f>RAW_DATA!H351</f>
        <v>0</v>
      </c>
      <c r="I351">
        <f>RAW_DATA!I351</f>
        <v>0</v>
      </c>
      <c r="J351">
        <f>RAW_DATA!J351</f>
        <v>0</v>
      </c>
      <c r="K351">
        <f>RAW_DATA!K351</f>
        <v>0</v>
      </c>
      <c r="L351">
        <f>RAW_DATA!L351</f>
        <v>0</v>
      </c>
      <c r="M351">
        <f>H351*I351</f>
        <v>0</v>
      </c>
      <c r="N351">
        <f>ISOWEEKNUM(B351)</f>
        <v>0</v>
      </c>
      <c r="O351">
        <f>TEXT(B351,"mmm")</f>
        <v>0</v>
      </c>
      <c r="P351">
        <f>"Q"&amp;ROUNDUP(MONTH(B351)/3,0)</f>
        <v>0</v>
      </c>
      <c r="Q351">
        <f>IF(J351&gt;=4,"High",IF(J351&gt;=3,"Medium","Low"))</f>
        <v>0</v>
      </c>
      <c r="R351">
        <f>IF(K351&lt;=5,"On Time","Delayed")</f>
        <v>0</v>
      </c>
    </row>
    <row r="352" spans="1:18">
      <c r="A352">
        <f>RAW_DATA!A352</f>
        <v>0</v>
      </c>
      <c r="B352">
        <f>RAW_DATA!B352</f>
        <v>0</v>
      </c>
      <c r="C352">
        <f>RAW_DATA!C352</f>
        <v>0</v>
      </c>
      <c r="D352">
        <f>RAW_DATA!D352</f>
        <v>0</v>
      </c>
      <c r="E352">
        <f>RAW_DATA!E352</f>
        <v>0</v>
      </c>
      <c r="F352">
        <f>RAW_DATA!F352</f>
        <v>0</v>
      </c>
      <c r="G352">
        <f>RAW_DATA!G352</f>
        <v>0</v>
      </c>
      <c r="H352">
        <f>RAW_DATA!H352</f>
        <v>0</v>
      </c>
      <c r="I352">
        <f>RAW_DATA!I352</f>
        <v>0</v>
      </c>
      <c r="J352">
        <f>RAW_DATA!J352</f>
        <v>0</v>
      </c>
      <c r="K352">
        <f>RAW_DATA!K352</f>
        <v>0</v>
      </c>
      <c r="L352">
        <f>RAW_DATA!L352</f>
        <v>0</v>
      </c>
      <c r="M352">
        <f>H352*I352</f>
        <v>0</v>
      </c>
      <c r="N352">
        <f>ISOWEEKNUM(B352)</f>
        <v>0</v>
      </c>
      <c r="O352">
        <f>TEXT(B352,"mmm")</f>
        <v>0</v>
      </c>
      <c r="P352">
        <f>"Q"&amp;ROUNDUP(MONTH(B352)/3,0)</f>
        <v>0</v>
      </c>
      <c r="Q352">
        <f>IF(J352&gt;=4,"High",IF(J352&gt;=3,"Medium","Low"))</f>
        <v>0</v>
      </c>
      <c r="R352">
        <f>IF(K352&lt;=5,"On Time","Delayed")</f>
        <v>0</v>
      </c>
    </row>
    <row r="353" spans="1:18">
      <c r="A353">
        <f>RAW_DATA!A353</f>
        <v>0</v>
      </c>
      <c r="B353">
        <f>RAW_DATA!B353</f>
        <v>0</v>
      </c>
      <c r="C353">
        <f>RAW_DATA!C353</f>
        <v>0</v>
      </c>
      <c r="D353">
        <f>RAW_DATA!D353</f>
        <v>0</v>
      </c>
      <c r="E353">
        <f>RAW_DATA!E353</f>
        <v>0</v>
      </c>
      <c r="F353">
        <f>RAW_DATA!F353</f>
        <v>0</v>
      </c>
      <c r="G353">
        <f>RAW_DATA!G353</f>
        <v>0</v>
      </c>
      <c r="H353">
        <f>RAW_DATA!H353</f>
        <v>0</v>
      </c>
      <c r="I353">
        <f>RAW_DATA!I353</f>
        <v>0</v>
      </c>
      <c r="J353">
        <f>RAW_DATA!J353</f>
        <v>0</v>
      </c>
      <c r="K353">
        <f>RAW_DATA!K353</f>
        <v>0</v>
      </c>
      <c r="L353">
        <f>RAW_DATA!L353</f>
        <v>0</v>
      </c>
      <c r="M353">
        <f>H353*I353</f>
        <v>0</v>
      </c>
      <c r="N353">
        <f>ISOWEEKNUM(B353)</f>
        <v>0</v>
      </c>
      <c r="O353">
        <f>TEXT(B353,"mmm")</f>
        <v>0</v>
      </c>
      <c r="P353">
        <f>"Q"&amp;ROUNDUP(MONTH(B353)/3,0)</f>
        <v>0</v>
      </c>
      <c r="Q353">
        <f>IF(J353&gt;=4,"High",IF(J353&gt;=3,"Medium","Low"))</f>
        <v>0</v>
      </c>
      <c r="R353">
        <f>IF(K353&lt;=5,"On Time","Delayed")</f>
        <v>0</v>
      </c>
    </row>
    <row r="354" spans="1:18">
      <c r="A354">
        <f>RAW_DATA!A354</f>
        <v>0</v>
      </c>
      <c r="B354">
        <f>RAW_DATA!B354</f>
        <v>0</v>
      </c>
      <c r="C354">
        <f>RAW_DATA!C354</f>
        <v>0</v>
      </c>
      <c r="D354">
        <f>RAW_DATA!D354</f>
        <v>0</v>
      </c>
      <c r="E354">
        <f>RAW_DATA!E354</f>
        <v>0</v>
      </c>
      <c r="F354">
        <f>RAW_DATA!F354</f>
        <v>0</v>
      </c>
      <c r="G354">
        <f>RAW_DATA!G354</f>
        <v>0</v>
      </c>
      <c r="H354">
        <f>RAW_DATA!H354</f>
        <v>0</v>
      </c>
      <c r="I354">
        <f>RAW_DATA!I354</f>
        <v>0</v>
      </c>
      <c r="J354">
        <f>RAW_DATA!J354</f>
        <v>0</v>
      </c>
      <c r="K354">
        <f>RAW_DATA!K354</f>
        <v>0</v>
      </c>
      <c r="L354">
        <f>RAW_DATA!L354</f>
        <v>0</v>
      </c>
      <c r="M354">
        <f>H354*I354</f>
        <v>0</v>
      </c>
      <c r="N354">
        <f>ISOWEEKNUM(B354)</f>
        <v>0</v>
      </c>
      <c r="O354">
        <f>TEXT(B354,"mmm")</f>
        <v>0</v>
      </c>
      <c r="P354">
        <f>"Q"&amp;ROUNDUP(MONTH(B354)/3,0)</f>
        <v>0</v>
      </c>
      <c r="Q354">
        <f>IF(J354&gt;=4,"High",IF(J354&gt;=3,"Medium","Low"))</f>
        <v>0</v>
      </c>
      <c r="R354">
        <f>IF(K354&lt;=5,"On Time","Delayed")</f>
        <v>0</v>
      </c>
    </row>
    <row r="355" spans="1:18">
      <c r="A355">
        <f>RAW_DATA!A355</f>
        <v>0</v>
      </c>
      <c r="B355">
        <f>RAW_DATA!B355</f>
        <v>0</v>
      </c>
      <c r="C355">
        <f>RAW_DATA!C355</f>
        <v>0</v>
      </c>
      <c r="D355">
        <f>RAW_DATA!D355</f>
        <v>0</v>
      </c>
      <c r="E355">
        <f>RAW_DATA!E355</f>
        <v>0</v>
      </c>
      <c r="F355">
        <f>RAW_DATA!F355</f>
        <v>0</v>
      </c>
      <c r="G355">
        <f>RAW_DATA!G355</f>
        <v>0</v>
      </c>
      <c r="H355">
        <f>RAW_DATA!H355</f>
        <v>0</v>
      </c>
      <c r="I355">
        <f>RAW_DATA!I355</f>
        <v>0</v>
      </c>
      <c r="J355">
        <f>RAW_DATA!J355</f>
        <v>0</v>
      </c>
      <c r="K355">
        <f>RAW_DATA!K355</f>
        <v>0</v>
      </c>
      <c r="L355">
        <f>RAW_DATA!L355</f>
        <v>0</v>
      </c>
      <c r="M355">
        <f>H355*I355</f>
        <v>0</v>
      </c>
      <c r="N355">
        <f>ISOWEEKNUM(B355)</f>
        <v>0</v>
      </c>
      <c r="O355">
        <f>TEXT(B355,"mmm")</f>
        <v>0</v>
      </c>
      <c r="P355">
        <f>"Q"&amp;ROUNDUP(MONTH(B355)/3,0)</f>
        <v>0</v>
      </c>
      <c r="Q355">
        <f>IF(J355&gt;=4,"High",IF(J355&gt;=3,"Medium","Low"))</f>
        <v>0</v>
      </c>
      <c r="R355">
        <f>IF(K355&lt;=5,"On Time","Delayed")</f>
        <v>0</v>
      </c>
    </row>
    <row r="356" spans="1:18">
      <c r="A356">
        <f>RAW_DATA!A356</f>
        <v>0</v>
      </c>
      <c r="B356">
        <f>RAW_DATA!B356</f>
        <v>0</v>
      </c>
      <c r="C356">
        <f>RAW_DATA!C356</f>
        <v>0</v>
      </c>
      <c r="D356">
        <f>RAW_DATA!D356</f>
        <v>0</v>
      </c>
      <c r="E356">
        <f>RAW_DATA!E356</f>
        <v>0</v>
      </c>
      <c r="F356">
        <f>RAW_DATA!F356</f>
        <v>0</v>
      </c>
      <c r="G356">
        <f>RAW_DATA!G356</f>
        <v>0</v>
      </c>
      <c r="H356">
        <f>RAW_DATA!H356</f>
        <v>0</v>
      </c>
      <c r="I356">
        <f>RAW_DATA!I356</f>
        <v>0</v>
      </c>
      <c r="J356">
        <f>RAW_DATA!J356</f>
        <v>0</v>
      </c>
      <c r="K356">
        <f>RAW_DATA!K356</f>
        <v>0</v>
      </c>
      <c r="L356">
        <f>RAW_DATA!L356</f>
        <v>0</v>
      </c>
      <c r="M356">
        <f>H356*I356</f>
        <v>0</v>
      </c>
      <c r="N356">
        <f>ISOWEEKNUM(B356)</f>
        <v>0</v>
      </c>
      <c r="O356">
        <f>TEXT(B356,"mmm")</f>
        <v>0</v>
      </c>
      <c r="P356">
        <f>"Q"&amp;ROUNDUP(MONTH(B356)/3,0)</f>
        <v>0</v>
      </c>
      <c r="Q356">
        <f>IF(J356&gt;=4,"High",IF(J356&gt;=3,"Medium","Low"))</f>
        <v>0</v>
      </c>
      <c r="R356">
        <f>IF(K356&lt;=5,"On Time","Delayed")</f>
        <v>0</v>
      </c>
    </row>
    <row r="357" spans="1:18">
      <c r="A357">
        <f>RAW_DATA!A357</f>
        <v>0</v>
      </c>
      <c r="B357">
        <f>RAW_DATA!B357</f>
        <v>0</v>
      </c>
      <c r="C357">
        <f>RAW_DATA!C357</f>
        <v>0</v>
      </c>
      <c r="D357">
        <f>RAW_DATA!D357</f>
        <v>0</v>
      </c>
      <c r="E357">
        <f>RAW_DATA!E357</f>
        <v>0</v>
      </c>
      <c r="F357">
        <f>RAW_DATA!F357</f>
        <v>0</v>
      </c>
      <c r="G357">
        <f>RAW_DATA!G357</f>
        <v>0</v>
      </c>
      <c r="H357">
        <f>RAW_DATA!H357</f>
        <v>0</v>
      </c>
      <c r="I357">
        <f>RAW_DATA!I357</f>
        <v>0</v>
      </c>
      <c r="J357">
        <f>RAW_DATA!J357</f>
        <v>0</v>
      </c>
      <c r="K357">
        <f>RAW_DATA!K357</f>
        <v>0</v>
      </c>
      <c r="L357">
        <f>RAW_DATA!L357</f>
        <v>0</v>
      </c>
      <c r="M357">
        <f>H357*I357</f>
        <v>0</v>
      </c>
      <c r="N357">
        <f>ISOWEEKNUM(B357)</f>
        <v>0</v>
      </c>
      <c r="O357">
        <f>TEXT(B357,"mmm")</f>
        <v>0</v>
      </c>
      <c r="P357">
        <f>"Q"&amp;ROUNDUP(MONTH(B357)/3,0)</f>
        <v>0</v>
      </c>
      <c r="Q357">
        <f>IF(J357&gt;=4,"High",IF(J357&gt;=3,"Medium","Low"))</f>
        <v>0</v>
      </c>
      <c r="R357">
        <f>IF(K357&lt;=5,"On Time","Delayed")</f>
        <v>0</v>
      </c>
    </row>
    <row r="358" spans="1:18">
      <c r="A358">
        <f>RAW_DATA!A358</f>
        <v>0</v>
      </c>
      <c r="B358">
        <f>RAW_DATA!B358</f>
        <v>0</v>
      </c>
      <c r="C358">
        <f>RAW_DATA!C358</f>
        <v>0</v>
      </c>
      <c r="D358">
        <f>RAW_DATA!D358</f>
        <v>0</v>
      </c>
      <c r="E358">
        <f>RAW_DATA!E358</f>
        <v>0</v>
      </c>
      <c r="F358">
        <f>RAW_DATA!F358</f>
        <v>0</v>
      </c>
      <c r="G358">
        <f>RAW_DATA!G358</f>
        <v>0</v>
      </c>
      <c r="H358">
        <f>RAW_DATA!H358</f>
        <v>0</v>
      </c>
      <c r="I358">
        <f>RAW_DATA!I358</f>
        <v>0</v>
      </c>
      <c r="J358">
        <f>RAW_DATA!J358</f>
        <v>0</v>
      </c>
      <c r="K358">
        <f>RAW_DATA!K358</f>
        <v>0</v>
      </c>
      <c r="L358">
        <f>RAW_DATA!L358</f>
        <v>0</v>
      </c>
      <c r="M358">
        <f>H358*I358</f>
        <v>0</v>
      </c>
      <c r="N358">
        <f>ISOWEEKNUM(B358)</f>
        <v>0</v>
      </c>
      <c r="O358">
        <f>TEXT(B358,"mmm")</f>
        <v>0</v>
      </c>
      <c r="P358">
        <f>"Q"&amp;ROUNDUP(MONTH(B358)/3,0)</f>
        <v>0</v>
      </c>
      <c r="Q358">
        <f>IF(J358&gt;=4,"High",IF(J358&gt;=3,"Medium","Low"))</f>
        <v>0</v>
      </c>
      <c r="R358">
        <f>IF(K358&lt;=5,"On Time","Delayed")</f>
        <v>0</v>
      </c>
    </row>
    <row r="359" spans="1:18">
      <c r="A359">
        <f>RAW_DATA!A359</f>
        <v>0</v>
      </c>
      <c r="B359">
        <f>RAW_DATA!B359</f>
        <v>0</v>
      </c>
      <c r="C359">
        <f>RAW_DATA!C359</f>
        <v>0</v>
      </c>
      <c r="D359">
        <f>RAW_DATA!D359</f>
        <v>0</v>
      </c>
      <c r="E359">
        <f>RAW_DATA!E359</f>
        <v>0</v>
      </c>
      <c r="F359">
        <f>RAW_DATA!F359</f>
        <v>0</v>
      </c>
      <c r="G359">
        <f>RAW_DATA!G359</f>
        <v>0</v>
      </c>
      <c r="H359">
        <f>RAW_DATA!H359</f>
        <v>0</v>
      </c>
      <c r="I359">
        <f>RAW_DATA!I359</f>
        <v>0</v>
      </c>
      <c r="J359">
        <f>RAW_DATA!J359</f>
        <v>0</v>
      </c>
      <c r="K359">
        <f>RAW_DATA!K359</f>
        <v>0</v>
      </c>
      <c r="L359">
        <f>RAW_DATA!L359</f>
        <v>0</v>
      </c>
      <c r="M359">
        <f>H359*I359</f>
        <v>0</v>
      </c>
      <c r="N359">
        <f>ISOWEEKNUM(B359)</f>
        <v>0</v>
      </c>
      <c r="O359">
        <f>TEXT(B359,"mmm")</f>
        <v>0</v>
      </c>
      <c r="P359">
        <f>"Q"&amp;ROUNDUP(MONTH(B359)/3,0)</f>
        <v>0</v>
      </c>
      <c r="Q359">
        <f>IF(J359&gt;=4,"High",IF(J359&gt;=3,"Medium","Low"))</f>
        <v>0</v>
      </c>
      <c r="R359">
        <f>IF(K359&lt;=5,"On Time","Delayed")</f>
        <v>0</v>
      </c>
    </row>
    <row r="360" spans="1:18">
      <c r="A360">
        <f>RAW_DATA!A360</f>
        <v>0</v>
      </c>
      <c r="B360">
        <f>RAW_DATA!B360</f>
        <v>0</v>
      </c>
      <c r="C360">
        <f>RAW_DATA!C360</f>
        <v>0</v>
      </c>
      <c r="D360">
        <f>RAW_DATA!D360</f>
        <v>0</v>
      </c>
      <c r="E360">
        <f>RAW_DATA!E360</f>
        <v>0</v>
      </c>
      <c r="F360">
        <f>RAW_DATA!F360</f>
        <v>0</v>
      </c>
      <c r="G360">
        <f>RAW_DATA!G360</f>
        <v>0</v>
      </c>
      <c r="H360">
        <f>RAW_DATA!H360</f>
        <v>0</v>
      </c>
      <c r="I360">
        <f>RAW_DATA!I360</f>
        <v>0</v>
      </c>
      <c r="J360">
        <f>RAW_DATA!J360</f>
        <v>0</v>
      </c>
      <c r="K360">
        <f>RAW_DATA!K360</f>
        <v>0</v>
      </c>
      <c r="L360">
        <f>RAW_DATA!L360</f>
        <v>0</v>
      </c>
      <c r="M360">
        <f>H360*I360</f>
        <v>0</v>
      </c>
      <c r="N360">
        <f>ISOWEEKNUM(B360)</f>
        <v>0</v>
      </c>
      <c r="O360">
        <f>TEXT(B360,"mmm")</f>
        <v>0</v>
      </c>
      <c r="P360">
        <f>"Q"&amp;ROUNDUP(MONTH(B360)/3,0)</f>
        <v>0</v>
      </c>
      <c r="Q360">
        <f>IF(J360&gt;=4,"High",IF(J360&gt;=3,"Medium","Low"))</f>
        <v>0</v>
      </c>
      <c r="R360">
        <f>IF(K360&lt;=5,"On Time","Delayed")</f>
        <v>0</v>
      </c>
    </row>
    <row r="361" spans="1:18">
      <c r="A361">
        <f>RAW_DATA!A361</f>
        <v>0</v>
      </c>
      <c r="B361">
        <f>RAW_DATA!B361</f>
        <v>0</v>
      </c>
      <c r="C361">
        <f>RAW_DATA!C361</f>
        <v>0</v>
      </c>
      <c r="D361">
        <f>RAW_DATA!D361</f>
        <v>0</v>
      </c>
      <c r="E361">
        <f>RAW_DATA!E361</f>
        <v>0</v>
      </c>
      <c r="F361">
        <f>RAW_DATA!F361</f>
        <v>0</v>
      </c>
      <c r="G361">
        <f>RAW_DATA!G361</f>
        <v>0</v>
      </c>
      <c r="H361">
        <f>RAW_DATA!H361</f>
        <v>0</v>
      </c>
      <c r="I361">
        <f>RAW_DATA!I361</f>
        <v>0</v>
      </c>
      <c r="J361">
        <f>RAW_DATA!J361</f>
        <v>0</v>
      </c>
      <c r="K361">
        <f>RAW_DATA!K361</f>
        <v>0</v>
      </c>
      <c r="L361">
        <f>RAW_DATA!L361</f>
        <v>0</v>
      </c>
      <c r="M361">
        <f>H361*I361</f>
        <v>0</v>
      </c>
      <c r="N361">
        <f>ISOWEEKNUM(B361)</f>
        <v>0</v>
      </c>
      <c r="O361">
        <f>TEXT(B361,"mmm")</f>
        <v>0</v>
      </c>
      <c r="P361">
        <f>"Q"&amp;ROUNDUP(MONTH(B361)/3,0)</f>
        <v>0</v>
      </c>
      <c r="Q361">
        <f>IF(J361&gt;=4,"High",IF(J361&gt;=3,"Medium","Low"))</f>
        <v>0</v>
      </c>
      <c r="R361">
        <f>IF(K361&lt;=5,"On Time","Delayed")</f>
        <v>0</v>
      </c>
    </row>
    <row r="362" spans="1:18">
      <c r="A362">
        <f>RAW_DATA!A362</f>
        <v>0</v>
      </c>
      <c r="B362">
        <f>RAW_DATA!B362</f>
        <v>0</v>
      </c>
      <c r="C362">
        <f>RAW_DATA!C362</f>
        <v>0</v>
      </c>
      <c r="D362">
        <f>RAW_DATA!D362</f>
        <v>0</v>
      </c>
      <c r="E362">
        <f>RAW_DATA!E362</f>
        <v>0</v>
      </c>
      <c r="F362">
        <f>RAW_DATA!F362</f>
        <v>0</v>
      </c>
      <c r="G362">
        <f>RAW_DATA!G362</f>
        <v>0</v>
      </c>
      <c r="H362">
        <f>RAW_DATA!H362</f>
        <v>0</v>
      </c>
      <c r="I362">
        <f>RAW_DATA!I362</f>
        <v>0</v>
      </c>
      <c r="J362">
        <f>RAW_DATA!J362</f>
        <v>0</v>
      </c>
      <c r="K362">
        <f>RAW_DATA!K362</f>
        <v>0</v>
      </c>
      <c r="L362">
        <f>RAW_DATA!L362</f>
        <v>0</v>
      </c>
      <c r="M362">
        <f>H362*I362</f>
        <v>0</v>
      </c>
      <c r="N362">
        <f>ISOWEEKNUM(B362)</f>
        <v>0</v>
      </c>
      <c r="O362">
        <f>TEXT(B362,"mmm")</f>
        <v>0</v>
      </c>
      <c r="P362">
        <f>"Q"&amp;ROUNDUP(MONTH(B362)/3,0)</f>
        <v>0</v>
      </c>
      <c r="Q362">
        <f>IF(J362&gt;=4,"High",IF(J362&gt;=3,"Medium","Low"))</f>
        <v>0</v>
      </c>
      <c r="R362">
        <f>IF(K362&lt;=5,"On Time","Delayed")</f>
        <v>0</v>
      </c>
    </row>
    <row r="363" spans="1:18">
      <c r="A363">
        <f>RAW_DATA!A363</f>
        <v>0</v>
      </c>
      <c r="B363">
        <f>RAW_DATA!B363</f>
        <v>0</v>
      </c>
      <c r="C363">
        <f>RAW_DATA!C363</f>
        <v>0</v>
      </c>
      <c r="D363">
        <f>RAW_DATA!D363</f>
        <v>0</v>
      </c>
      <c r="E363">
        <f>RAW_DATA!E363</f>
        <v>0</v>
      </c>
      <c r="F363">
        <f>RAW_DATA!F363</f>
        <v>0</v>
      </c>
      <c r="G363">
        <f>RAW_DATA!G363</f>
        <v>0</v>
      </c>
      <c r="H363">
        <f>RAW_DATA!H363</f>
        <v>0</v>
      </c>
      <c r="I363">
        <f>RAW_DATA!I363</f>
        <v>0</v>
      </c>
      <c r="J363">
        <f>RAW_DATA!J363</f>
        <v>0</v>
      </c>
      <c r="K363">
        <f>RAW_DATA!K363</f>
        <v>0</v>
      </c>
      <c r="L363">
        <f>RAW_DATA!L363</f>
        <v>0</v>
      </c>
      <c r="M363">
        <f>H363*I363</f>
        <v>0</v>
      </c>
      <c r="N363">
        <f>ISOWEEKNUM(B363)</f>
        <v>0</v>
      </c>
      <c r="O363">
        <f>TEXT(B363,"mmm")</f>
        <v>0</v>
      </c>
      <c r="P363">
        <f>"Q"&amp;ROUNDUP(MONTH(B363)/3,0)</f>
        <v>0</v>
      </c>
      <c r="Q363">
        <f>IF(J363&gt;=4,"High",IF(J363&gt;=3,"Medium","Low"))</f>
        <v>0</v>
      </c>
      <c r="R363">
        <f>IF(K363&lt;=5,"On Time","Delayed")</f>
        <v>0</v>
      </c>
    </row>
    <row r="364" spans="1:18">
      <c r="A364">
        <f>RAW_DATA!A364</f>
        <v>0</v>
      </c>
      <c r="B364">
        <f>RAW_DATA!B364</f>
        <v>0</v>
      </c>
      <c r="C364">
        <f>RAW_DATA!C364</f>
        <v>0</v>
      </c>
      <c r="D364">
        <f>RAW_DATA!D364</f>
        <v>0</v>
      </c>
      <c r="E364">
        <f>RAW_DATA!E364</f>
        <v>0</v>
      </c>
      <c r="F364">
        <f>RAW_DATA!F364</f>
        <v>0</v>
      </c>
      <c r="G364">
        <f>RAW_DATA!G364</f>
        <v>0</v>
      </c>
      <c r="H364">
        <f>RAW_DATA!H364</f>
        <v>0</v>
      </c>
      <c r="I364">
        <f>RAW_DATA!I364</f>
        <v>0</v>
      </c>
      <c r="J364">
        <f>RAW_DATA!J364</f>
        <v>0</v>
      </c>
      <c r="K364">
        <f>RAW_DATA!K364</f>
        <v>0</v>
      </c>
      <c r="L364">
        <f>RAW_DATA!L364</f>
        <v>0</v>
      </c>
      <c r="M364">
        <f>H364*I364</f>
        <v>0</v>
      </c>
      <c r="N364">
        <f>ISOWEEKNUM(B364)</f>
        <v>0</v>
      </c>
      <c r="O364">
        <f>TEXT(B364,"mmm")</f>
        <v>0</v>
      </c>
      <c r="P364">
        <f>"Q"&amp;ROUNDUP(MONTH(B364)/3,0)</f>
        <v>0</v>
      </c>
      <c r="Q364">
        <f>IF(J364&gt;=4,"High",IF(J364&gt;=3,"Medium","Low"))</f>
        <v>0</v>
      </c>
      <c r="R364">
        <f>IF(K364&lt;=5,"On Time","Delayed")</f>
        <v>0</v>
      </c>
    </row>
    <row r="365" spans="1:18">
      <c r="A365">
        <f>RAW_DATA!A365</f>
        <v>0</v>
      </c>
      <c r="B365">
        <f>RAW_DATA!B365</f>
        <v>0</v>
      </c>
      <c r="C365">
        <f>RAW_DATA!C365</f>
        <v>0</v>
      </c>
      <c r="D365">
        <f>RAW_DATA!D365</f>
        <v>0</v>
      </c>
      <c r="E365">
        <f>RAW_DATA!E365</f>
        <v>0</v>
      </c>
      <c r="F365">
        <f>RAW_DATA!F365</f>
        <v>0</v>
      </c>
      <c r="G365">
        <f>RAW_DATA!G365</f>
        <v>0</v>
      </c>
      <c r="H365">
        <f>RAW_DATA!H365</f>
        <v>0</v>
      </c>
      <c r="I365">
        <f>RAW_DATA!I365</f>
        <v>0</v>
      </c>
      <c r="J365">
        <f>RAW_DATA!J365</f>
        <v>0</v>
      </c>
      <c r="K365">
        <f>RAW_DATA!K365</f>
        <v>0</v>
      </c>
      <c r="L365">
        <f>RAW_DATA!L365</f>
        <v>0</v>
      </c>
      <c r="M365">
        <f>H365*I365</f>
        <v>0</v>
      </c>
      <c r="N365">
        <f>ISOWEEKNUM(B365)</f>
        <v>0</v>
      </c>
      <c r="O365">
        <f>TEXT(B365,"mmm")</f>
        <v>0</v>
      </c>
      <c r="P365">
        <f>"Q"&amp;ROUNDUP(MONTH(B365)/3,0)</f>
        <v>0</v>
      </c>
      <c r="Q365">
        <f>IF(J365&gt;=4,"High",IF(J365&gt;=3,"Medium","Low"))</f>
        <v>0</v>
      </c>
      <c r="R365">
        <f>IF(K365&lt;=5,"On Time","Delayed")</f>
        <v>0</v>
      </c>
    </row>
    <row r="366" spans="1:18">
      <c r="A366">
        <f>RAW_DATA!A366</f>
        <v>0</v>
      </c>
      <c r="B366">
        <f>RAW_DATA!B366</f>
        <v>0</v>
      </c>
      <c r="C366">
        <f>RAW_DATA!C366</f>
        <v>0</v>
      </c>
      <c r="D366">
        <f>RAW_DATA!D366</f>
        <v>0</v>
      </c>
      <c r="E366">
        <f>RAW_DATA!E366</f>
        <v>0</v>
      </c>
      <c r="F366">
        <f>RAW_DATA!F366</f>
        <v>0</v>
      </c>
      <c r="G366">
        <f>RAW_DATA!G366</f>
        <v>0</v>
      </c>
      <c r="H366">
        <f>RAW_DATA!H366</f>
        <v>0</v>
      </c>
      <c r="I366">
        <f>RAW_DATA!I366</f>
        <v>0</v>
      </c>
      <c r="J366">
        <f>RAW_DATA!J366</f>
        <v>0</v>
      </c>
      <c r="K366">
        <f>RAW_DATA!K366</f>
        <v>0</v>
      </c>
      <c r="L366">
        <f>RAW_DATA!L366</f>
        <v>0</v>
      </c>
      <c r="M366">
        <f>H366*I366</f>
        <v>0</v>
      </c>
      <c r="N366">
        <f>ISOWEEKNUM(B366)</f>
        <v>0</v>
      </c>
      <c r="O366">
        <f>TEXT(B366,"mmm")</f>
        <v>0</v>
      </c>
      <c r="P366">
        <f>"Q"&amp;ROUNDUP(MONTH(B366)/3,0)</f>
        <v>0</v>
      </c>
      <c r="Q366">
        <f>IF(J366&gt;=4,"High",IF(J366&gt;=3,"Medium","Low"))</f>
        <v>0</v>
      </c>
      <c r="R366">
        <f>IF(K366&lt;=5,"On Time","Delayed")</f>
        <v>0</v>
      </c>
    </row>
    <row r="367" spans="1:18">
      <c r="A367">
        <f>RAW_DATA!A367</f>
        <v>0</v>
      </c>
      <c r="B367">
        <f>RAW_DATA!B367</f>
        <v>0</v>
      </c>
      <c r="C367">
        <f>RAW_DATA!C367</f>
        <v>0</v>
      </c>
      <c r="D367">
        <f>RAW_DATA!D367</f>
        <v>0</v>
      </c>
      <c r="E367">
        <f>RAW_DATA!E367</f>
        <v>0</v>
      </c>
      <c r="F367">
        <f>RAW_DATA!F367</f>
        <v>0</v>
      </c>
      <c r="G367">
        <f>RAW_DATA!G367</f>
        <v>0</v>
      </c>
      <c r="H367">
        <f>RAW_DATA!H367</f>
        <v>0</v>
      </c>
      <c r="I367">
        <f>RAW_DATA!I367</f>
        <v>0</v>
      </c>
      <c r="J367">
        <f>RAW_DATA!J367</f>
        <v>0</v>
      </c>
      <c r="K367">
        <f>RAW_DATA!K367</f>
        <v>0</v>
      </c>
      <c r="L367">
        <f>RAW_DATA!L367</f>
        <v>0</v>
      </c>
      <c r="M367">
        <f>H367*I367</f>
        <v>0</v>
      </c>
      <c r="N367">
        <f>ISOWEEKNUM(B367)</f>
        <v>0</v>
      </c>
      <c r="O367">
        <f>TEXT(B367,"mmm")</f>
        <v>0</v>
      </c>
      <c r="P367">
        <f>"Q"&amp;ROUNDUP(MONTH(B367)/3,0)</f>
        <v>0</v>
      </c>
      <c r="Q367">
        <f>IF(J367&gt;=4,"High",IF(J367&gt;=3,"Medium","Low"))</f>
        <v>0</v>
      </c>
      <c r="R367">
        <f>IF(K367&lt;=5,"On Time","Delayed")</f>
        <v>0</v>
      </c>
    </row>
    <row r="368" spans="1:18">
      <c r="A368">
        <f>RAW_DATA!A368</f>
        <v>0</v>
      </c>
      <c r="B368">
        <f>RAW_DATA!B368</f>
        <v>0</v>
      </c>
      <c r="C368">
        <f>RAW_DATA!C368</f>
        <v>0</v>
      </c>
      <c r="D368">
        <f>RAW_DATA!D368</f>
        <v>0</v>
      </c>
      <c r="E368">
        <f>RAW_DATA!E368</f>
        <v>0</v>
      </c>
      <c r="F368">
        <f>RAW_DATA!F368</f>
        <v>0</v>
      </c>
      <c r="G368">
        <f>RAW_DATA!G368</f>
        <v>0</v>
      </c>
      <c r="H368">
        <f>RAW_DATA!H368</f>
        <v>0</v>
      </c>
      <c r="I368">
        <f>RAW_DATA!I368</f>
        <v>0</v>
      </c>
      <c r="J368">
        <f>RAW_DATA!J368</f>
        <v>0</v>
      </c>
      <c r="K368">
        <f>RAW_DATA!K368</f>
        <v>0</v>
      </c>
      <c r="L368">
        <f>RAW_DATA!L368</f>
        <v>0</v>
      </c>
      <c r="M368">
        <f>H368*I368</f>
        <v>0</v>
      </c>
      <c r="N368">
        <f>ISOWEEKNUM(B368)</f>
        <v>0</v>
      </c>
      <c r="O368">
        <f>TEXT(B368,"mmm")</f>
        <v>0</v>
      </c>
      <c r="P368">
        <f>"Q"&amp;ROUNDUP(MONTH(B368)/3,0)</f>
        <v>0</v>
      </c>
      <c r="Q368">
        <f>IF(J368&gt;=4,"High",IF(J368&gt;=3,"Medium","Low"))</f>
        <v>0</v>
      </c>
      <c r="R368">
        <f>IF(K368&lt;=5,"On Time","Delayed")</f>
        <v>0</v>
      </c>
    </row>
    <row r="369" spans="1:18">
      <c r="A369">
        <f>RAW_DATA!A369</f>
        <v>0</v>
      </c>
      <c r="B369">
        <f>RAW_DATA!B369</f>
        <v>0</v>
      </c>
      <c r="C369">
        <f>RAW_DATA!C369</f>
        <v>0</v>
      </c>
      <c r="D369">
        <f>RAW_DATA!D369</f>
        <v>0</v>
      </c>
      <c r="E369">
        <f>RAW_DATA!E369</f>
        <v>0</v>
      </c>
      <c r="F369">
        <f>RAW_DATA!F369</f>
        <v>0</v>
      </c>
      <c r="G369">
        <f>RAW_DATA!G369</f>
        <v>0</v>
      </c>
      <c r="H369">
        <f>RAW_DATA!H369</f>
        <v>0</v>
      </c>
      <c r="I369">
        <f>RAW_DATA!I369</f>
        <v>0</v>
      </c>
      <c r="J369">
        <f>RAW_DATA!J369</f>
        <v>0</v>
      </c>
      <c r="K369">
        <f>RAW_DATA!K369</f>
        <v>0</v>
      </c>
      <c r="L369">
        <f>RAW_DATA!L369</f>
        <v>0</v>
      </c>
      <c r="M369">
        <f>H369*I369</f>
        <v>0</v>
      </c>
      <c r="N369">
        <f>ISOWEEKNUM(B369)</f>
        <v>0</v>
      </c>
      <c r="O369">
        <f>TEXT(B369,"mmm")</f>
        <v>0</v>
      </c>
      <c r="P369">
        <f>"Q"&amp;ROUNDUP(MONTH(B369)/3,0)</f>
        <v>0</v>
      </c>
      <c r="Q369">
        <f>IF(J369&gt;=4,"High",IF(J369&gt;=3,"Medium","Low"))</f>
        <v>0</v>
      </c>
      <c r="R369">
        <f>IF(K369&lt;=5,"On Time","Delayed")</f>
        <v>0</v>
      </c>
    </row>
    <row r="370" spans="1:18">
      <c r="A370">
        <f>RAW_DATA!A370</f>
        <v>0</v>
      </c>
      <c r="B370">
        <f>RAW_DATA!B370</f>
        <v>0</v>
      </c>
      <c r="C370">
        <f>RAW_DATA!C370</f>
        <v>0</v>
      </c>
      <c r="D370">
        <f>RAW_DATA!D370</f>
        <v>0</v>
      </c>
      <c r="E370">
        <f>RAW_DATA!E370</f>
        <v>0</v>
      </c>
      <c r="F370">
        <f>RAW_DATA!F370</f>
        <v>0</v>
      </c>
      <c r="G370">
        <f>RAW_DATA!G370</f>
        <v>0</v>
      </c>
      <c r="H370">
        <f>RAW_DATA!H370</f>
        <v>0</v>
      </c>
      <c r="I370">
        <f>RAW_DATA!I370</f>
        <v>0</v>
      </c>
      <c r="J370">
        <f>RAW_DATA!J370</f>
        <v>0</v>
      </c>
      <c r="K370">
        <f>RAW_DATA!K370</f>
        <v>0</v>
      </c>
      <c r="L370">
        <f>RAW_DATA!L370</f>
        <v>0</v>
      </c>
      <c r="M370">
        <f>H370*I370</f>
        <v>0</v>
      </c>
      <c r="N370">
        <f>ISOWEEKNUM(B370)</f>
        <v>0</v>
      </c>
      <c r="O370">
        <f>TEXT(B370,"mmm")</f>
        <v>0</v>
      </c>
      <c r="P370">
        <f>"Q"&amp;ROUNDUP(MONTH(B370)/3,0)</f>
        <v>0</v>
      </c>
      <c r="Q370">
        <f>IF(J370&gt;=4,"High",IF(J370&gt;=3,"Medium","Low"))</f>
        <v>0</v>
      </c>
      <c r="R370">
        <f>IF(K370&lt;=5,"On Time","Delayed")</f>
        <v>0</v>
      </c>
    </row>
    <row r="371" spans="1:18">
      <c r="A371">
        <f>RAW_DATA!A371</f>
        <v>0</v>
      </c>
      <c r="B371">
        <f>RAW_DATA!B371</f>
        <v>0</v>
      </c>
      <c r="C371">
        <f>RAW_DATA!C371</f>
        <v>0</v>
      </c>
      <c r="D371">
        <f>RAW_DATA!D371</f>
        <v>0</v>
      </c>
      <c r="E371">
        <f>RAW_DATA!E371</f>
        <v>0</v>
      </c>
      <c r="F371">
        <f>RAW_DATA!F371</f>
        <v>0</v>
      </c>
      <c r="G371">
        <f>RAW_DATA!G371</f>
        <v>0</v>
      </c>
      <c r="H371">
        <f>RAW_DATA!H371</f>
        <v>0</v>
      </c>
      <c r="I371">
        <f>RAW_DATA!I371</f>
        <v>0</v>
      </c>
      <c r="J371">
        <f>RAW_DATA!J371</f>
        <v>0</v>
      </c>
      <c r="K371">
        <f>RAW_DATA!K371</f>
        <v>0</v>
      </c>
      <c r="L371">
        <f>RAW_DATA!L371</f>
        <v>0</v>
      </c>
      <c r="M371">
        <f>H371*I371</f>
        <v>0</v>
      </c>
      <c r="N371">
        <f>ISOWEEKNUM(B371)</f>
        <v>0</v>
      </c>
      <c r="O371">
        <f>TEXT(B371,"mmm")</f>
        <v>0</v>
      </c>
      <c r="P371">
        <f>"Q"&amp;ROUNDUP(MONTH(B371)/3,0)</f>
        <v>0</v>
      </c>
      <c r="Q371">
        <f>IF(J371&gt;=4,"High",IF(J371&gt;=3,"Medium","Low"))</f>
        <v>0</v>
      </c>
      <c r="R371">
        <f>IF(K371&lt;=5,"On Time","Delayed")</f>
        <v>0</v>
      </c>
    </row>
    <row r="372" spans="1:18">
      <c r="A372">
        <f>RAW_DATA!A372</f>
        <v>0</v>
      </c>
      <c r="B372">
        <f>RAW_DATA!B372</f>
        <v>0</v>
      </c>
      <c r="C372">
        <f>RAW_DATA!C372</f>
        <v>0</v>
      </c>
      <c r="D372">
        <f>RAW_DATA!D372</f>
        <v>0</v>
      </c>
      <c r="E372">
        <f>RAW_DATA!E372</f>
        <v>0</v>
      </c>
      <c r="F372">
        <f>RAW_DATA!F372</f>
        <v>0</v>
      </c>
      <c r="G372">
        <f>RAW_DATA!G372</f>
        <v>0</v>
      </c>
      <c r="H372">
        <f>RAW_DATA!H372</f>
        <v>0</v>
      </c>
      <c r="I372">
        <f>RAW_DATA!I372</f>
        <v>0</v>
      </c>
      <c r="J372">
        <f>RAW_DATA!J372</f>
        <v>0</v>
      </c>
      <c r="K372">
        <f>RAW_DATA!K372</f>
        <v>0</v>
      </c>
      <c r="L372">
        <f>RAW_DATA!L372</f>
        <v>0</v>
      </c>
      <c r="M372">
        <f>H372*I372</f>
        <v>0</v>
      </c>
      <c r="N372">
        <f>ISOWEEKNUM(B372)</f>
        <v>0</v>
      </c>
      <c r="O372">
        <f>TEXT(B372,"mmm")</f>
        <v>0</v>
      </c>
      <c r="P372">
        <f>"Q"&amp;ROUNDUP(MONTH(B372)/3,0)</f>
        <v>0</v>
      </c>
      <c r="Q372">
        <f>IF(J372&gt;=4,"High",IF(J372&gt;=3,"Medium","Low"))</f>
        <v>0</v>
      </c>
      <c r="R372">
        <f>IF(K372&lt;=5,"On Time","Delayed")</f>
        <v>0</v>
      </c>
    </row>
    <row r="373" spans="1:18">
      <c r="A373">
        <f>RAW_DATA!A373</f>
        <v>0</v>
      </c>
      <c r="B373">
        <f>RAW_DATA!B373</f>
        <v>0</v>
      </c>
      <c r="C373">
        <f>RAW_DATA!C373</f>
        <v>0</v>
      </c>
      <c r="D373">
        <f>RAW_DATA!D373</f>
        <v>0</v>
      </c>
      <c r="E373">
        <f>RAW_DATA!E373</f>
        <v>0</v>
      </c>
      <c r="F373">
        <f>RAW_DATA!F373</f>
        <v>0</v>
      </c>
      <c r="G373">
        <f>RAW_DATA!G373</f>
        <v>0</v>
      </c>
      <c r="H373">
        <f>RAW_DATA!H373</f>
        <v>0</v>
      </c>
      <c r="I373">
        <f>RAW_DATA!I373</f>
        <v>0</v>
      </c>
      <c r="J373">
        <f>RAW_DATA!J373</f>
        <v>0</v>
      </c>
      <c r="K373">
        <f>RAW_DATA!K373</f>
        <v>0</v>
      </c>
      <c r="L373">
        <f>RAW_DATA!L373</f>
        <v>0</v>
      </c>
      <c r="M373">
        <f>H373*I373</f>
        <v>0</v>
      </c>
      <c r="N373">
        <f>ISOWEEKNUM(B373)</f>
        <v>0</v>
      </c>
      <c r="O373">
        <f>TEXT(B373,"mmm")</f>
        <v>0</v>
      </c>
      <c r="P373">
        <f>"Q"&amp;ROUNDUP(MONTH(B373)/3,0)</f>
        <v>0</v>
      </c>
      <c r="Q373">
        <f>IF(J373&gt;=4,"High",IF(J373&gt;=3,"Medium","Low"))</f>
        <v>0</v>
      </c>
      <c r="R373">
        <f>IF(K373&lt;=5,"On Time","Delayed")</f>
        <v>0</v>
      </c>
    </row>
    <row r="374" spans="1:18">
      <c r="A374">
        <f>RAW_DATA!A374</f>
        <v>0</v>
      </c>
      <c r="B374">
        <f>RAW_DATA!B374</f>
        <v>0</v>
      </c>
      <c r="C374">
        <f>RAW_DATA!C374</f>
        <v>0</v>
      </c>
      <c r="D374">
        <f>RAW_DATA!D374</f>
        <v>0</v>
      </c>
      <c r="E374">
        <f>RAW_DATA!E374</f>
        <v>0</v>
      </c>
      <c r="F374">
        <f>RAW_DATA!F374</f>
        <v>0</v>
      </c>
      <c r="G374">
        <f>RAW_DATA!G374</f>
        <v>0</v>
      </c>
      <c r="H374">
        <f>RAW_DATA!H374</f>
        <v>0</v>
      </c>
      <c r="I374">
        <f>RAW_DATA!I374</f>
        <v>0</v>
      </c>
      <c r="J374">
        <f>RAW_DATA!J374</f>
        <v>0</v>
      </c>
      <c r="K374">
        <f>RAW_DATA!K374</f>
        <v>0</v>
      </c>
      <c r="L374">
        <f>RAW_DATA!L374</f>
        <v>0</v>
      </c>
      <c r="M374">
        <f>H374*I374</f>
        <v>0</v>
      </c>
      <c r="N374">
        <f>ISOWEEKNUM(B374)</f>
        <v>0</v>
      </c>
      <c r="O374">
        <f>TEXT(B374,"mmm")</f>
        <v>0</v>
      </c>
      <c r="P374">
        <f>"Q"&amp;ROUNDUP(MONTH(B374)/3,0)</f>
        <v>0</v>
      </c>
      <c r="Q374">
        <f>IF(J374&gt;=4,"High",IF(J374&gt;=3,"Medium","Low"))</f>
        <v>0</v>
      </c>
      <c r="R374">
        <f>IF(K374&lt;=5,"On Time","Delayed")</f>
        <v>0</v>
      </c>
    </row>
    <row r="375" spans="1:18">
      <c r="A375">
        <f>RAW_DATA!A375</f>
        <v>0</v>
      </c>
      <c r="B375">
        <f>RAW_DATA!B375</f>
        <v>0</v>
      </c>
      <c r="C375">
        <f>RAW_DATA!C375</f>
        <v>0</v>
      </c>
      <c r="D375">
        <f>RAW_DATA!D375</f>
        <v>0</v>
      </c>
      <c r="E375">
        <f>RAW_DATA!E375</f>
        <v>0</v>
      </c>
      <c r="F375">
        <f>RAW_DATA!F375</f>
        <v>0</v>
      </c>
      <c r="G375">
        <f>RAW_DATA!G375</f>
        <v>0</v>
      </c>
      <c r="H375">
        <f>RAW_DATA!H375</f>
        <v>0</v>
      </c>
      <c r="I375">
        <f>RAW_DATA!I375</f>
        <v>0</v>
      </c>
      <c r="J375">
        <f>RAW_DATA!J375</f>
        <v>0</v>
      </c>
      <c r="K375">
        <f>RAW_DATA!K375</f>
        <v>0</v>
      </c>
      <c r="L375">
        <f>RAW_DATA!L375</f>
        <v>0</v>
      </c>
      <c r="M375">
        <f>H375*I375</f>
        <v>0</v>
      </c>
      <c r="N375">
        <f>ISOWEEKNUM(B375)</f>
        <v>0</v>
      </c>
      <c r="O375">
        <f>TEXT(B375,"mmm")</f>
        <v>0</v>
      </c>
      <c r="P375">
        <f>"Q"&amp;ROUNDUP(MONTH(B375)/3,0)</f>
        <v>0</v>
      </c>
      <c r="Q375">
        <f>IF(J375&gt;=4,"High",IF(J375&gt;=3,"Medium","Low"))</f>
        <v>0</v>
      </c>
      <c r="R375">
        <f>IF(K375&lt;=5,"On Time","Delayed")</f>
        <v>0</v>
      </c>
    </row>
    <row r="376" spans="1:18">
      <c r="A376">
        <f>RAW_DATA!A376</f>
        <v>0</v>
      </c>
      <c r="B376">
        <f>RAW_DATA!B376</f>
        <v>0</v>
      </c>
      <c r="C376">
        <f>RAW_DATA!C376</f>
        <v>0</v>
      </c>
      <c r="D376">
        <f>RAW_DATA!D376</f>
        <v>0</v>
      </c>
      <c r="E376">
        <f>RAW_DATA!E376</f>
        <v>0</v>
      </c>
      <c r="F376">
        <f>RAW_DATA!F376</f>
        <v>0</v>
      </c>
      <c r="G376">
        <f>RAW_DATA!G376</f>
        <v>0</v>
      </c>
      <c r="H376">
        <f>RAW_DATA!H376</f>
        <v>0</v>
      </c>
      <c r="I376">
        <f>RAW_DATA!I376</f>
        <v>0</v>
      </c>
      <c r="J376">
        <f>RAW_DATA!J376</f>
        <v>0</v>
      </c>
      <c r="K376">
        <f>RAW_DATA!K376</f>
        <v>0</v>
      </c>
      <c r="L376">
        <f>RAW_DATA!L376</f>
        <v>0</v>
      </c>
      <c r="M376">
        <f>H376*I376</f>
        <v>0</v>
      </c>
      <c r="N376">
        <f>ISOWEEKNUM(B376)</f>
        <v>0</v>
      </c>
      <c r="O376">
        <f>TEXT(B376,"mmm")</f>
        <v>0</v>
      </c>
      <c r="P376">
        <f>"Q"&amp;ROUNDUP(MONTH(B376)/3,0)</f>
        <v>0</v>
      </c>
      <c r="Q376">
        <f>IF(J376&gt;=4,"High",IF(J376&gt;=3,"Medium","Low"))</f>
        <v>0</v>
      </c>
      <c r="R376">
        <f>IF(K376&lt;=5,"On Time","Delayed")</f>
        <v>0</v>
      </c>
    </row>
    <row r="377" spans="1:18">
      <c r="A377">
        <f>RAW_DATA!A377</f>
        <v>0</v>
      </c>
      <c r="B377">
        <f>RAW_DATA!B377</f>
        <v>0</v>
      </c>
      <c r="C377">
        <f>RAW_DATA!C377</f>
        <v>0</v>
      </c>
      <c r="D377">
        <f>RAW_DATA!D377</f>
        <v>0</v>
      </c>
      <c r="E377">
        <f>RAW_DATA!E377</f>
        <v>0</v>
      </c>
      <c r="F377">
        <f>RAW_DATA!F377</f>
        <v>0</v>
      </c>
      <c r="G377">
        <f>RAW_DATA!G377</f>
        <v>0</v>
      </c>
      <c r="H377">
        <f>RAW_DATA!H377</f>
        <v>0</v>
      </c>
      <c r="I377">
        <f>RAW_DATA!I377</f>
        <v>0</v>
      </c>
      <c r="J377">
        <f>RAW_DATA!J377</f>
        <v>0</v>
      </c>
      <c r="K377">
        <f>RAW_DATA!K377</f>
        <v>0</v>
      </c>
      <c r="L377">
        <f>RAW_DATA!L377</f>
        <v>0</v>
      </c>
      <c r="M377">
        <f>H377*I377</f>
        <v>0</v>
      </c>
      <c r="N377">
        <f>ISOWEEKNUM(B377)</f>
        <v>0</v>
      </c>
      <c r="O377">
        <f>TEXT(B377,"mmm")</f>
        <v>0</v>
      </c>
      <c r="P377">
        <f>"Q"&amp;ROUNDUP(MONTH(B377)/3,0)</f>
        <v>0</v>
      </c>
      <c r="Q377">
        <f>IF(J377&gt;=4,"High",IF(J377&gt;=3,"Medium","Low"))</f>
        <v>0</v>
      </c>
      <c r="R377">
        <f>IF(K377&lt;=5,"On Time","Delayed")</f>
        <v>0</v>
      </c>
    </row>
    <row r="378" spans="1:18">
      <c r="A378">
        <f>RAW_DATA!A378</f>
        <v>0</v>
      </c>
      <c r="B378">
        <f>RAW_DATA!B378</f>
        <v>0</v>
      </c>
      <c r="C378">
        <f>RAW_DATA!C378</f>
        <v>0</v>
      </c>
      <c r="D378">
        <f>RAW_DATA!D378</f>
        <v>0</v>
      </c>
      <c r="E378">
        <f>RAW_DATA!E378</f>
        <v>0</v>
      </c>
      <c r="F378">
        <f>RAW_DATA!F378</f>
        <v>0</v>
      </c>
      <c r="G378">
        <f>RAW_DATA!G378</f>
        <v>0</v>
      </c>
      <c r="H378">
        <f>RAW_DATA!H378</f>
        <v>0</v>
      </c>
      <c r="I378">
        <f>RAW_DATA!I378</f>
        <v>0</v>
      </c>
      <c r="J378">
        <f>RAW_DATA!J378</f>
        <v>0</v>
      </c>
      <c r="K378">
        <f>RAW_DATA!K378</f>
        <v>0</v>
      </c>
      <c r="L378">
        <f>RAW_DATA!L378</f>
        <v>0</v>
      </c>
      <c r="M378">
        <f>H378*I378</f>
        <v>0</v>
      </c>
      <c r="N378">
        <f>ISOWEEKNUM(B378)</f>
        <v>0</v>
      </c>
      <c r="O378">
        <f>TEXT(B378,"mmm")</f>
        <v>0</v>
      </c>
      <c r="P378">
        <f>"Q"&amp;ROUNDUP(MONTH(B378)/3,0)</f>
        <v>0</v>
      </c>
      <c r="Q378">
        <f>IF(J378&gt;=4,"High",IF(J378&gt;=3,"Medium","Low"))</f>
        <v>0</v>
      </c>
      <c r="R378">
        <f>IF(K378&lt;=5,"On Time","Delayed")</f>
        <v>0</v>
      </c>
    </row>
    <row r="379" spans="1:18">
      <c r="A379">
        <f>RAW_DATA!A379</f>
        <v>0</v>
      </c>
      <c r="B379">
        <f>RAW_DATA!B379</f>
        <v>0</v>
      </c>
      <c r="C379">
        <f>RAW_DATA!C379</f>
        <v>0</v>
      </c>
      <c r="D379">
        <f>RAW_DATA!D379</f>
        <v>0</v>
      </c>
      <c r="E379">
        <f>RAW_DATA!E379</f>
        <v>0</v>
      </c>
      <c r="F379">
        <f>RAW_DATA!F379</f>
        <v>0</v>
      </c>
      <c r="G379">
        <f>RAW_DATA!G379</f>
        <v>0</v>
      </c>
      <c r="H379">
        <f>RAW_DATA!H379</f>
        <v>0</v>
      </c>
      <c r="I379">
        <f>RAW_DATA!I379</f>
        <v>0</v>
      </c>
      <c r="J379">
        <f>RAW_DATA!J379</f>
        <v>0</v>
      </c>
      <c r="K379">
        <f>RAW_DATA!K379</f>
        <v>0</v>
      </c>
      <c r="L379">
        <f>RAW_DATA!L379</f>
        <v>0</v>
      </c>
      <c r="M379">
        <f>H379*I379</f>
        <v>0</v>
      </c>
      <c r="N379">
        <f>ISOWEEKNUM(B379)</f>
        <v>0</v>
      </c>
      <c r="O379">
        <f>TEXT(B379,"mmm")</f>
        <v>0</v>
      </c>
      <c r="P379">
        <f>"Q"&amp;ROUNDUP(MONTH(B379)/3,0)</f>
        <v>0</v>
      </c>
      <c r="Q379">
        <f>IF(J379&gt;=4,"High",IF(J379&gt;=3,"Medium","Low"))</f>
        <v>0</v>
      </c>
      <c r="R379">
        <f>IF(K379&lt;=5,"On Time","Delayed")</f>
        <v>0</v>
      </c>
    </row>
    <row r="380" spans="1:18">
      <c r="A380">
        <f>RAW_DATA!A380</f>
        <v>0</v>
      </c>
      <c r="B380">
        <f>RAW_DATA!B380</f>
        <v>0</v>
      </c>
      <c r="C380">
        <f>RAW_DATA!C380</f>
        <v>0</v>
      </c>
      <c r="D380">
        <f>RAW_DATA!D380</f>
        <v>0</v>
      </c>
      <c r="E380">
        <f>RAW_DATA!E380</f>
        <v>0</v>
      </c>
      <c r="F380">
        <f>RAW_DATA!F380</f>
        <v>0</v>
      </c>
      <c r="G380">
        <f>RAW_DATA!G380</f>
        <v>0</v>
      </c>
      <c r="H380">
        <f>RAW_DATA!H380</f>
        <v>0</v>
      </c>
      <c r="I380">
        <f>RAW_DATA!I380</f>
        <v>0</v>
      </c>
      <c r="J380">
        <f>RAW_DATA!J380</f>
        <v>0</v>
      </c>
      <c r="K380">
        <f>RAW_DATA!K380</f>
        <v>0</v>
      </c>
      <c r="L380">
        <f>RAW_DATA!L380</f>
        <v>0</v>
      </c>
      <c r="M380">
        <f>H380*I380</f>
        <v>0</v>
      </c>
      <c r="N380">
        <f>ISOWEEKNUM(B380)</f>
        <v>0</v>
      </c>
      <c r="O380">
        <f>TEXT(B380,"mmm")</f>
        <v>0</v>
      </c>
      <c r="P380">
        <f>"Q"&amp;ROUNDUP(MONTH(B380)/3,0)</f>
        <v>0</v>
      </c>
      <c r="Q380">
        <f>IF(J380&gt;=4,"High",IF(J380&gt;=3,"Medium","Low"))</f>
        <v>0</v>
      </c>
      <c r="R380">
        <f>IF(K380&lt;=5,"On Time","Delayed")</f>
        <v>0</v>
      </c>
    </row>
    <row r="381" spans="1:18">
      <c r="A381">
        <f>RAW_DATA!A381</f>
        <v>0</v>
      </c>
      <c r="B381">
        <f>RAW_DATA!B381</f>
        <v>0</v>
      </c>
      <c r="C381">
        <f>RAW_DATA!C381</f>
        <v>0</v>
      </c>
      <c r="D381">
        <f>RAW_DATA!D381</f>
        <v>0</v>
      </c>
      <c r="E381">
        <f>RAW_DATA!E381</f>
        <v>0</v>
      </c>
      <c r="F381">
        <f>RAW_DATA!F381</f>
        <v>0</v>
      </c>
      <c r="G381">
        <f>RAW_DATA!G381</f>
        <v>0</v>
      </c>
      <c r="H381">
        <f>RAW_DATA!H381</f>
        <v>0</v>
      </c>
      <c r="I381">
        <f>RAW_DATA!I381</f>
        <v>0</v>
      </c>
      <c r="J381">
        <f>RAW_DATA!J381</f>
        <v>0</v>
      </c>
      <c r="K381">
        <f>RAW_DATA!K381</f>
        <v>0</v>
      </c>
      <c r="L381">
        <f>RAW_DATA!L381</f>
        <v>0</v>
      </c>
      <c r="M381">
        <f>H381*I381</f>
        <v>0</v>
      </c>
      <c r="N381">
        <f>ISOWEEKNUM(B381)</f>
        <v>0</v>
      </c>
      <c r="O381">
        <f>TEXT(B381,"mmm")</f>
        <v>0</v>
      </c>
      <c r="P381">
        <f>"Q"&amp;ROUNDUP(MONTH(B381)/3,0)</f>
        <v>0</v>
      </c>
      <c r="Q381">
        <f>IF(J381&gt;=4,"High",IF(J381&gt;=3,"Medium","Low"))</f>
        <v>0</v>
      </c>
      <c r="R381">
        <f>IF(K381&lt;=5,"On Time","Delayed")</f>
        <v>0</v>
      </c>
    </row>
    <row r="382" spans="1:18">
      <c r="A382">
        <f>RAW_DATA!A382</f>
        <v>0</v>
      </c>
      <c r="B382">
        <f>RAW_DATA!B382</f>
        <v>0</v>
      </c>
      <c r="C382">
        <f>RAW_DATA!C382</f>
        <v>0</v>
      </c>
      <c r="D382">
        <f>RAW_DATA!D382</f>
        <v>0</v>
      </c>
      <c r="E382">
        <f>RAW_DATA!E382</f>
        <v>0</v>
      </c>
      <c r="F382">
        <f>RAW_DATA!F382</f>
        <v>0</v>
      </c>
      <c r="G382">
        <f>RAW_DATA!G382</f>
        <v>0</v>
      </c>
      <c r="H382">
        <f>RAW_DATA!H382</f>
        <v>0</v>
      </c>
      <c r="I382">
        <f>RAW_DATA!I382</f>
        <v>0</v>
      </c>
      <c r="J382">
        <f>RAW_DATA!J382</f>
        <v>0</v>
      </c>
      <c r="K382">
        <f>RAW_DATA!K382</f>
        <v>0</v>
      </c>
      <c r="L382">
        <f>RAW_DATA!L382</f>
        <v>0</v>
      </c>
      <c r="M382">
        <f>H382*I382</f>
        <v>0</v>
      </c>
      <c r="N382">
        <f>ISOWEEKNUM(B382)</f>
        <v>0</v>
      </c>
      <c r="O382">
        <f>TEXT(B382,"mmm")</f>
        <v>0</v>
      </c>
      <c r="P382">
        <f>"Q"&amp;ROUNDUP(MONTH(B382)/3,0)</f>
        <v>0</v>
      </c>
      <c r="Q382">
        <f>IF(J382&gt;=4,"High",IF(J382&gt;=3,"Medium","Low"))</f>
        <v>0</v>
      </c>
      <c r="R382">
        <f>IF(K382&lt;=5,"On Time","Delayed")</f>
        <v>0</v>
      </c>
    </row>
    <row r="383" spans="1:18">
      <c r="A383">
        <f>RAW_DATA!A383</f>
        <v>0</v>
      </c>
      <c r="B383">
        <f>RAW_DATA!B383</f>
        <v>0</v>
      </c>
      <c r="C383">
        <f>RAW_DATA!C383</f>
        <v>0</v>
      </c>
      <c r="D383">
        <f>RAW_DATA!D383</f>
        <v>0</v>
      </c>
      <c r="E383">
        <f>RAW_DATA!E383</f>
        <v>0</v>
      </c>
      <c r="F383">
        <f>RAW_DATA!F383</f>
        <v>0</v>
      </c>
      <c r="G383">
        <f>RAW_DATA!G383</f>
        <v>0</v>
      </c>
      <c r="H383">
        <f>RAW_DATA!H383</f>
        <v>0</v>
      </c>
      <c r="I383">
        <f>RAW_DATA!I383</f>
        <v>0</v>
      </c>
      <c r="J383">
        <f>RAW_DATA!J383</f>
        <v>0</v>
      </c>
      <c r="K383">
        <f>RAW_DATA!K383</f>
        <v>0</v>
      </c>
      <c r="L383">
        <f>RAW_DATA!L383</f>
        <v>0</v>
      </c>
      <c r="M383">
        <f>H383*I383</f>
        <v>0</v>
      </c>
      <c r="N383">
        <f>ISOWEEKNUM(B383)</f>
        <v>0</v>
      </c>
      <c r="O383">
        <f>TEXT(B383,"mmm")</f>
        <v>0</v>
      </c>
      <c r="P383">
        <f>"Q"&amp;ROUNDUP(MONTH(B383)/3,0)</f>
        <v>0</v>
      </c>
      <c r="Q383">
        <f>IF(J383&gt;=4,"High",IF(J383&gt;=3,"Medium","Low"))</f>
        <v>0</v>
      </c>
      <c r="R383">
        <f>IF(K383&lt;=5,"On Time","Delayed")</f>
        <v>0</v>
      </c>
    </row>
    <row r="384" spans="1:18">
      <c r="A384">
        <f>RAW_DATA!A384</f>
        <v>0</v>
      </c>
      <c r="B384">
        <f>RAW_DATA!B384</f>
        <v>0</v>
      </c>
      <c r="C384">
        <f>RAW_DATA!C384</f>
        <v>0</v>
      </c>
      <c r="D384">
        <f>RAW_DATA!D384</f>
        <v>0</v>
      </c>
      <c r="E384">
        <f>RAW_DATA!E384</f>
        <v>0</v>
      </c>
      <c r="F384">
        <f>RAW_DATA!F384</f>
        <v>0</v>
      </c>
      <c r="G384">
        <f>RAW_DATA!G384</f>
        <v>0</v>
      </c>
      <c r="H384">
        <f>RAW_DATA!H384</f>
        <v>0</v>
      </c>
      <c r="I384">
        <f>RAW_DATA!I384</f>
        <v>0</v>
      </c>
      <c r="J384">
        <f>RAW_DATA!J384</f>
        <v>0</v>
      </c>
      <c r="K384">
        <f>RAW_DATA!K384</f>
        <v>0</v>
      </c>
      <c r="L384">
        <f>RAW_DATA!L384</f>
        <v>0</v>
      </c>
      <c r="M384">
        <f>H384*I384</f>
        <v>0</v>
      </c>
      <c r="N384">
        <f>ISOWEEKNUM(B384)</f>
        <v>0</v>
      </c>
      <c r="O384">
        <f>TEXT(B384,"mmm")</f>
        <v>0</v>
      </c>
      <c r="P384">
        <f>"Q"&amp;ROUNDUP(MONTH(B384)/3,0)</f>
        <v>0</v>
      </c>
      <c r="Q384">
        <f>IF(J384&gt;=4,"High",IF(J384&gt;=3,"Medium","Low"))</f>
        <v>0</v>
      </c>
      <c r="R384">
        <f>IF(K384&lt;=5,"On Time","Delayed")</f>
        <v>0</v>
      </c>
    </row>
    <row r="385" spans="1:18">
      <c r="A385">
        <f>RAW_DATA!A385</f>
        <v>0</v>
      </c>
      <c r="B385">
        <f>RAW_DATA!B385</f>
        <v>0</v>
      </c>
      <c r="C385">
        <f>RAW_DATA!C385</f>
        <v>0</v>
      </c>
      <c r="D385">
        <f>RAW_DATA!D385</f>
        <v>0</v>
      </c>
      <c r="E385">
        <f>RAW_DATA!E385</f>
        <v>0</v>
      </c>
      <c r="F385">
        <f>RAW_DATA!F385</f>
        <v>0</v>
      </c>
      <c r="G385">
        <f>RAW_DATA!G385</f>
        <v>0</v>
      </c>
      <c r="H385">
        <f>RAW_DATA!H385</f>
        <v>0</v>
      </c>
      <c r="I385">
        <f>RAW_DATA!I385</f>
        <v>0</v>
      </c>
      <c r="J385">
        <f>RAW_DATA!J385</f>
        <v>0</v>
      </c>
      <c r="K385">
        <f>RAW_DATA!K385</f>
        <v>0</v>
      </c>
      <c r="L385">
        <f>RAW_DATA!L385</f>
        <v>0</v>
      </c>
      <c r="M385">
        <f>H385*I385</f>
        <v>0</v>
      </c>
      <c r="N385">
        <f>ISOWEEKNUM(B385)</f>
        <v>0</v>
      </c>
      <c r="O385">
        <f>TEXT(B385,"mmm")</f>
        <v>0</v>
      </c>
      <c r="P385">
        <f>"Q"&amp;ROUNDUP(MONTH(B385)/3,0)</f>
        <v>0</v>
      </c>
      <c r="Q385">
        <f>IF(J385&gt;=4,"High",IF(J385&gt;=3,"Medium","Low"))</f>
        <v>0</v>
      </c>
      <c r="R385">
        <f>IF(K385&lt;=5,"On Time","Delayed")</f>
        <v>0</v>
      </c>
    </row>
    <row r="386" spans="1:18">
      <c r="A386">
        <f>RAW_DATA!A386</f>
        <v>0</v>
      </c>
      <c r="B386">
        <f>RAW_DATA!B386</f>
        <v>0</v>
      </c>
      <c r="C386">
        <f>RAW_DATA!C386</f>
        <v>0</v>
      </c>
      <c r="D386">
        <f>RAW_DATA!D386</f>
        <v>0</v>
      </c>
      <c r="E386">
        <f>RAW_DATA!E386</f>
        <v>0</v>
      </c>
      <c r="F386">
        <f>RAW_DATA!F386</f>
        <v>0</v>
      </c>
      <c r="G386">
        <f>RAW_DATA!G386</f>
        <v>0</v>
      </c>
      <c r="H386">
        <f>RAW_DATA!H386</f>
        <v>0</v>
      </c>
      <c r="I386">
        <f>RAW_DATA!I386</f>
        <v>0</v>
      </c>
      <c r="J386">
        <f>RAW_DATA!J386</f>
        <v>0</v>
      </c>
      <c r="K386">
        <f>RAW_DATA!K386</f>
        <v>0</v>
      </c>
      <c r="L386">
        <f>RAW_DATA!L386</f>
        <v>0</v>
      </c>
      <c r="M386">
        <f>H386*I386</f>
        <v>0</v>
      </c>
      <c r="N386">
        <f>ISOWEEKNUM(B386)</f>
        <v>0</v>
      </c>
      <c r="O386">
        <f>TEXT(B386,"mmm")</f>
        <v>0</v>
      </c>
      <c r="P386">
        <f>"Q"&amp;ROUNDUP(MONTH(B386)/3,0)</f>
        <v>0</v>
      </c>
      <c r="Q386">
        <f>IF(J386&gt;=4,"High",IF(J386&gt;=3,"Medium","Low"))</f>
        <v>0</v>
      </c>
      <c r="R386">
        <f>IF(K386&lt;=5,"On Time","Delayed")</f>
        <v>0</v>
      </c>
    </row>
    <row r="387" spans="1:18">
      <c r="A387">
        <f>RAW_DATA!A387</f>
        <v>0</v>
      </c>
      <c r="B387">
        <f>RAW_DATA!B387</f>
        <v>0</v>
      </c>
      <c r="C387">
        <f>RAW_DATA!C387</f>
        <v>0</v>
      </c>
      <c r="D387">
        <f>RAW_DATA!D387</f>
        <v>0</v>
      </c>
      <c r="E387">
        <f>RAW_DATA!E387</f>
        <v>0</v>
      </c>
      <c r="F387">
        <f>RAW_DATA!F387</f>
        <v>0</v>
      </c>
      <c r="G387">
        <f>RAW_DATA!G387</f>
        <v>0</v>
      </c>
      <c r="H387">
        <f>RAW_DATA!H387</f>
        <v>0</v>
      </c>
      <c r="I387">
        <f>RAW_DATA!I387</f>
        <v>0</v>
      </c>
      <c r="J387">
        <f>RAW_DATA!J387</f>
        <v>0</v>
      </c>
      <c r="K387">
        <f>RAW_DATA!K387</f>
        <v>0</v>
      </c>
      <c r="L387">
        <f>RAW_DATA!L387</f>
        <v>0</v>
      </c>
      <c r="M387">
        <f>H387*I387</f>
        <v>0</v>
      </c>
      <c r="N387">
        <f>ISOWEEKNUM(B387)</f>
        <v>0</v>
      </c>
      <c r="O387">
        <f>TEXT(B387,"mmm")</f>
        <v>0</v>
      </c>
      <c r="P387">
        <f>"Q"&amp;ROUNDUP(MONTH(B387)/3,0)</f>
        <v>0</v>
      </c>
      <c r="Q387">
        <f>IF(J387&gt;=4,"High",IF(J387&gt;=3,"Medium","Low"))</f>
        <v>0</v>
      </c>
      <c r="R387">
        <f>IF(K387&lt;=5,"On Time","Delayed")</f>
        <v>0</v>
      </c>
    </row>
    <row r="388" spans="1:18">
      <c r="A388">
        <f>RAW_DATA!A388</f>
        <v>0</v>
      </c>
      <c r="B388">
        <f>RAW_DATA!B388</f>
        <v>0</v>
      </c>
      <c r="C388">
        <f>RAW_DATA!C388</f>
        <v>0</v>
      </c>
      <c r="D388">
        <f>RAW_DATA!D388</f>
        <v>0</v>
      </c>
      <c r="E388">
        <f>RAW_DATA!E388</f>
        <v>0</v>
      </c>
      <c r="F388">
        <f>RAW_DATA!F388</f>
        <v>0</v>
      </c>
      <c r="G388">
        <f>RAW_DATA!G388</f>
        <v>0</v>
      </c>
      <c r="H388">
        <f>RAW_DATA!H388</f>
        <v>0</v>
      </c>
      <c r="I388">
        <f>RAW_DATA!I388</f>
        <v>0</v>
      </c>
      <c r="J388">
        <f>RAW_DATA!J388</f>
        <v>0</v>
      </c>
      <c r="K388">
        <f>RAW_DATA!K388</f>
        <v>0</v>
      </c>
      <c r="L388">
        <f>RAW_DATA!L388</f>
        <v>0</v>
      </c>
      <c r="M388">
        <f>H388*I388</f>
        <v>0</v>
      </c>
      <c r="N388">
        <f>ISOWEEKNUM(B388)</f>
        <v>0</v>
      </c>
      <c r="O388">
        <f>TEXT(B388,"mmm")</f>
        <v>0</v>
      </c>
      <c r="P388">
        <f>"Q"&amp;ROUNDUP(MONTH(B388)/3,0)</f>
        <v>0</v>
      </c>
      <c r="Q388">
        <f>IF(J388&gt;=4,"High",IF(J388&gt;=3,"Medium","Low"))</f>
        <v>0</v>
      </c>
      <c r="R388">
        <f>IF(K388&lt;=5,"On Time","Delayed")</f>
        <v>0</v>
      </c>
    </row>
    <row r="389" spans="1:18">
      <c r="A389">
        <f>RAW_DATA!A389</f>
        <v>0</v>
      </c>
      <c r="B389">
        <f>RAW_DATA!B389</f>
        <v>0</v>
      </c>
      <c r="C389">
        <f>RAW_DATA!C389</f>
        <v>0</v>
      </c>
      <c r="D389">
        <f>RAW_DATA!D389</f>
        <v>0</v>
      </c>
      <c r="E389">
        <f>RAW_DATA!E389</f>
        <v>0</v>
      </c>
      <c r="F389">
        <f>RAW_DATA!F389</f>
        <v>0</v>
      </c>
      <c r="G389">
        <f>RAW_DATA!G389</f>
        <v>0</v>
      </c>
      <c r="H389">
        <f>RAW_DATA!H389</f>
        <v>0</v>
      </c>
      <c r="I389">
        <f>RAW_DATA!I389</f>
        <v>0</v>
      </c>
      <c r="J389">
        <f>RAW_DATA!J389</f>
        <v>0</v>
      </c>
      <c r="K389">
        <f>RAW_DATA!K389</f>
        <v>0</v>
      </c>
      <c r="L389">
        <f>RAW_DATA!L389</f>
        <v>0</v>
      </c>
      <c r="M389">
        <f>H389*I389</f>
        <v>0</v>
      </c>
      <c r="N389">
        <f>ISOWEEKNUM(B389)</f>
        <v>0</v>
      </c>
      <c r="O389">
        <f>TEXT(B389,"mmm")</f>
        <v>0</v>
      </c>
      <c r="P389">
        <f>"Q"&amp;ROUNDUP(MONTH(B389)/3,0)</f>
        <v>0</v>
      </c>
      <c r="Q389">
        <f>IF(J389&gt;=4,"High",IF(J389&gt;=3,"Medium","Low"))</f>
        <v>0</v>
      </c>
      <c r="R389">
        <f>IF(K389&lt;=5,"On Time","Delayed")</f>
        <v>0</v>
      </c>
    </row>
    <row r="390" spans="1:18">
      <c r="A390">
        <f>RAW_DATA!A390</f>
        <v>0</v>
      </c>
      <c r="B390">
        <f>RAW_DATA!B390</f>
        <v>0</v>
      </c>
      <c r="C390">
        <f>RAW_DATA!C390</f>
        <v>0</v>
      </c>
      <c r="D390">
        <f>RAW_DATA!D390</f>
        <v>0</v>
      </c>
      <c r="E390">
        <f>RAW_DATA!E390</f>
        <v>0</v>
      </c>
      <c r="F390">
        <f>RAW_DATA!F390</f>
        <v>0</v>
      </c>
      <c r="G390">
        <f>RAW_DATA!G390</f>
        <v>0</v>
      </c>
      <c r="H390">
        <f>RAW_DATA!H390</f>
        <v>0</v>
      </c>
      <c r="I390">
        <f>RAW_DATA!I390</f>
        <v>0</v>
      </c>
      <c r="J390">
        <f>RAW_DATA!J390</f>
        <v>0</v>
      </c>
      <c r="K390">
        <f>RAW_DATA!K390</f>
        <v>0</v>
      </c>
      <c r="L390">
        <f>RAW_DATA!L390</f>
        <v>0</v>
      </c>
      <c r="M390">
        <f>H390*I390</f>
        <v>0</v>
      </c>
      <c r="N390">
        <f>ISOWEEKNUM(B390)</f>
        <v>0</v>
      </c>
      <c r="O390">
        <f>TEXT(B390,"mmm")</f>
        <v>0</v>
      </c>
      <c r="P390">
        <f>"Q"&amp;ROUNDUP(MONTH(B390)/3,0)</f>
        <v>0</v>
      </c>
      <c r="Q390">
        <f>IF(J390&gt;=4,"High",IF(J390&gt;=3,"Medium","Low"))</f>
        <v>0</v>
      </c>
      <c r="R390">
        <f>IF(K390&lt;=5,"On Time","Delayed")</f>
        <v>0</v>
      </c>
    </row>
    <row r="391" spans="1:18">
      <c r="A391">
        <f>RAW_DATA!A391</f>
        <v>0</v>
      </c>
      <c r="B391">
        <f>RAW_DATA!B391</f>
        <v>0</v>
      </c>
      <c r="C391">
        <f>RAW_DATA!C391</f>
        <v>0</v>
      </c>
      <c r="D391">
        <f>RAW_DATA!D391</f>
        <v>0</v>
      </c>
      <c r="E391">
        <f>RAW_DATA!E391</f>
        <v>0</v>
      </c>
      <c r="F391">
        <f>RAW_DATA!F391</f>
        <v>0</v>
      </c>
      <c r="G391">
        <f>RAW_DATA!G391</f>
        <v>0</v>
      </c>
      <c r="H391">
        <f>RAW_DATA!H391</f>
        <v>0</v>
      </c>
      <c r="I391">
        <f>RAW_DATA!I391</f>
        <v>0</v>
      </c>
      <c r="J391">
        <f>RAW_DATA!J391</f>
        <v>0</v>
      </c>
      <c r="K391">
        <f>RAW_DATA!K391</f>
        <v>0</v>
      </c>
      <c r="L391">
        <f>RAW_DATA!L391</f>
        <v>0</v>
      </c>
      <c r="M391">
        <f>H391*I391</f>
        <v>0</v>
      </c>
      <c r="N391">
        <f>ISOWEEKNUM(B391)</f>
        <v>0</v>
      </c>
      <c r="O391">
        <f>TEXT(B391,"mmm")</f>
        <v>0</v>
      </c>
      <c r="P391">
        <f>"Q"&amp;ROUNDUP(MONTH(B391)/3,0)</f>
        <v>0</v>
      </c>
      <c r="Q391">
        <f>IF(J391&gt;=4,"High",IF(J391&gt;=3,"Medium","Low"))</f>
        <v>0</v>
      </c>
      <c r="R391">
        <f>IF(K391&lt;=5,"On Time","Delayed")</f>
        <v>0</v>
      </c>
    </row>
    <row r="392" spans="1:18">
      <c r="A392">
        <f>RAW_DATA!A392</f>
        <v>0</v>
      </c>
      <c r="B392">
        <f>RAW_DATA!B392</f>
        <v>0</v>
      </c>
      <c r="C392">
        <f>RAW_DATA!C392</f>
        <v>0</v>
      </c>
      <c r="D392">
        <f>RAW_DATA!D392</f>
        <v>0</v>
      </c>
      <c r="E392">
        <f>RAW_DATA!E392</f>
        <v>0</v>
      </c>
      <c r="F392">
        <f>RAW_DATA!F392</f>
        <v>0</v>
      </c>
      <c r="G392">
        <f>RAW_DATA!G392</f>
        <v>0</v>
      </c>
      <c r="H392">
        <f>RAW_DATA!H392</f>
        <v>0</v>
      </c>
      <c r="I392">
        <f>RAW_DATA!I392</f>
        <v>0</v>
      </c>
      <c r="J392">
        <f>RAW_DATA!J392</f>
        <v>0</v>
      </c>
      <c r="K392">
        <f>RAW_DATA!K392</f>
        <v>0</v>
      </c>
      <c r="L392">
        <f>RAW_DATA!L392</f>
        <v>0</v>
      </c>
      <c r="M392">
        <f>H392*I392</f>
        <v>0</v>
      </c>
      <c r="N392">
        <f>ISOWEEKNUM(B392)</f>
        <v>0</v>
      </c>
      <c r="O392">
        <f>TEXT(B392,"mmm")</f>
        <v>0</v>
      </c>
      <c r="P392">
        <f>"Q"&amp;ROUNDUP(MONTH(B392)/3,0)</f>
        <v>0</v>
      </c>
      <c r="Q392">
        <f>IF(J392&gt;=4,"High",IF(J392&gt;=3,"Medium","Low"))</f>
        <v>0</v>
      </c>
      <c r="R392">
        <f>IF(K392&lt;=5,"On Time","Delayed")</f>
        <v>0</v>
      </c>
    </row>
    <row r="393" spans="1:18">
      <c r="A393">
        <f>RAW_DATA!A393</f>
        <v>0</v>
      </c>
      <c r="B393">
        <f>RAW_DATA!B393</f>
        <v>0</v>
      </c>
      <c r="C393">
        <f>RAW_DATA!C393</f>
        <v>0</v>
      </c>
      <c r="D393">
        <f>RAW_DATA!D393</f>
        <v>0</v>
      </c>
      <c r="E393">
        <f>RAW_DATA!E393</f>
        <v>0</v>
      </c>
      <c r="F393">
        <f>RAW_DATA!F393</f>
        <v>0</v>
      </c>
      <c r="G393">
        <f>RAW_DATA!G393</f>
        <v>0</v>
      </c>
      <c r="H393">
        <f>RAW_DATA!H393</f>
        <v>0</v>
      </c>
      <c r="I393">
        <f>RAW_DATA!I393</f>
        <v>0</v>
      </c>
      <c r="J393">
        <f>RAW_DATA!J393</f>
        <v>0</v>
      </c>
      <c r="K393">
        <f>RAW_DATA!K393</f>
        <v>0</v>
      </c>
      <c r="L393">
        <f>RAW_DATA!L393</f>
        <v>0</v>
      </c>
      <c r="M393">
        <f>H393*I393</f>
        <v>0</v>
      </c>
      <c r="N393">
        <f>ISOWEEKNUM(B393)</f>
        <v>0</v>
      </c>
      <c r="O393">
        <f>TEXT(B393,"mmm")</f>
        <v>0</v>
      </c>
      <c r="P393">
        <f>"Q"&amp;ROUNDUP(MONTH(B393)/3,0)</f>
        <v>0</v>
      </c>
      <c r="Q393">
        <f>IF(J393&gt;=4,"High",IF(J393&gt;=3,"Medium","Low"))</f>
        <v>0</v>
      </c>
      <c r="R393">
        <f>IF(K393&lt;=5,"On Time","Delayed")</f>
        <v>0</v>
      </c>
    </row>
    <row r="394" spans="1:18">
      <c r="A394">
        <f>RAW_DATA!A394</f>
        <v>0</v>
      </c>
      <c r="B394">
        <f>RAW_DATA!B394</f>
        <v>0</v>
      </c>
      <c r="C394">
        <f>RAW_DATA!C394</f>
        <v>0</v>
      </c>
      <c r="D394">
        <f>RAW_DATA!D394</f>
        <v>0</v>
      </c>
      <c r="E394">
        <f>RAW_DATA!E394</f>
        <v>0</v>
      </c>
      <c r="F394">
        <f>RAW_DATA!F394</f>
        <v>0</v>
      </c>
      <c r="G394">
        <f>RAW_DATA!G394</f>
        <v>0</v>
      </c>
      <c r="H394">
        <f>RAW_DATA!H394</f>
        <v>0</v>
      </c>
      <c r="I394">
        <f>RAW_DATA!I394</f>
        <v>0</v>
      </c>
      <c r="J394">
        <f>RAW_DATA!J394</f>
        <v>0</v>
      </c>
      <c r="K394">
        <f>RAW_DATA!K394</f>
        <v>0</v>
      </c>
      <c r="L394">
        <f>RAW_DATA!L394</f>
        <v>0</v>
      </c>
      <c r="M394">
        <f>H394*I394</f>
        <v>0</v>
      </c>
      <c r="N394">
        <f>ISOWEEKNUM(B394)</f>
        <v>0</v>
      </c>
      <c r="O394">
        <f>TEXT(B394,"mmm")</f>
        <v>0</v>
      </c>
      <c r="P394">
        <f>"Q"&amp;ROUNDUP(MONTH(B394)/3,0)</f>
        <v>0</v>
      </c>
      <c r="Q394">
        <f>IF(J394&gt;=4,"High",IF(J394&gt;=3,"Medium","Low"))</f>
        <v>0</v>
      </c>
      <c r="R394">
        <f>IF(K394&lt;=5,"On Time","Delayed")</f>
        <v>0</v>
      </c>
    </row>
    <row r="395" spans="1:18">
      <c r="A395">
        <f>RAW_DATA!A395</f>
        <v>0</v>
      </c>
      <c r="B395">
        <f>RAW_DATA!B395</f>
        <v>0</v>
      </c>
      <c r="C395">
        <f>RAW_DATA!C395</f>
        <v>0</v>
      </c>
      <c r="D395">
        <f>RAW_DATA!D395</f>
        <v>0</v>
      </c>
      <c r="E395">
        <f>RAW_DATA!E395</f>
        <v>0</v>
      </c>
      <c r="F395">
        <f>RAW_DATA!F395</f>
        <v>0</v>
      </c>
      <c r="G395">
        <f>RAW_DATA!G395</f>
        <v>0</v>
      </c>
      <c r="H395">
        <f>RAW_DATA!H395</f>
        <v>0</v>
      </c>
      <c r="I395">
        <f>RAW_DATA!I395</f>
        <v>0</v>
      </c>
      <c r="J395">
        <f>RAW_DATA!J395</f>
        <v>0</v>
      </c>
      <c r="K395">
        <f>RAW_DATA!K395</f>
        <v>0</v>
      </c>
      <c r="L395">
        <f>RAW_DATA!L395</f>
        <v>0</v>
      </c>
      <c r="M395">
        <f>H395*I395</f>
        <v>0</v>
      </c>
      <c r="N395">
        <f>ISOWEEKNUM(B395)</f>
        <v>0</v>
      </c>
      <c r="O395">
        <f>TEXT(B395,"mmm")</f>
        <v>0</v>
      </c>
      <c r="P395">
        <f>"Q"&amp;ROUNDUP(MONTH(B395)/3,0)</f>
        <v>0</v>
      </c>
      <c r="Q395">
        <f>IF(J395&gt;=4,"High",IF(J395&gt;=3,"Medium","Low"))</f>
        <v>0</v>
      </c>
      <c r="R395">
        <f>IF(K395&lt;=5,"On Time","Delayed")</f>
        <v>0</v>
      </c>
    </row>
    <row r="396" spans="1:18">
      <c r="A396">
        <f>RAW_DATA!A396</f>
        <v>0</v>
      </c>
      <c r="B396">
        <f>RAW_DATA!B396</f>
        <v>0</v>
      </c>
      <c r="C396">
        <f>RAW_DATA!C396</f>
        <v>0</v>
      </c>
      <c r="D396">
        <f>RAW_DATA!D396</f>
        <v>0</v>
      </c>
      <c r="E396">
        <f>RAW_DATA!E396</f>
        <v>0</v>
      </c>
      <c r="F396">
        <f>RAW_DATA!F396</f>
        <v>0</v>
      </c>
      <c r="G396">
        <f>RAW_DATA!G396</f>
        <v>0</v>
      </c>
      <c r="H396">
        <f>RAW_DATA!H396</f>
        <v>0</v>
      </c>
      <c r="I396">
        <f>RAW_DATA!I396</f>
        <v>0</v>
      </c>
      <c r="J396">
        <f>RAW_DATA!J396</f>
        <v>0</v>
      </c>
      <c r="K396">
        <f>RAW_DATA!K396</f>
        <v>0</v>
      </c>
      <c r="L396">
        <f>RAW_DATA!L396</f>
        <v>0</v>
      </c>
      <c r="M396">
        <f>H396*I396</f>
        <v>0</v>
      </c>
      <c r="N396">
        <f>ISOWEEKNUM(B396)</f>
        <v>0</v>
      </c>
      <c r="O396">
        <f>TEXT(B396,"mmm")</f>
        <v>0</v>
      </c>
      <c r="P396">
        <f>"Q"&amp;ROUNDUP(MONTH(B396)/3,0)</f>
        <v>0</v>
      </c>
      <c r="Q396">
        <f>IF(J396&gt;=4,"High",IF(J396&gt;=3,"Medium","Low"))</f>
        <v>0</v>
      </c>
      <c r="R396">
        <f>IF(K396&lt;=5,"On Time","Delayed")</f>
        <v>0</v>
      </c>
    </row>
    <row r="397" spans="1:18">
      <c r="A397">
        <f>RAW_DATA!A397</f>
        <v>0</v>
      </c>
      <c r="B397">
        <f>RAW_DATA!B397</f>
        <v>0</v>
      </c>
      <c r="C397">
        <f>RAW_DATA!C397</f>
        <v>0</v>
      </c>
      <c r="D397">
        <f>RAW_DATA!D397</f>
        <v>0</v>
      </c>
      <c r="E397">
        <f>RAW_DATA!E397</f>
        <v>0</v>
      </c>
      <c r="F397">
        <f>RAW_DATA!F397</f>
        <v>0</v>
      </c>
      <c r="G397">
        <f>RAW_DATA!G397</f>
        <v>0</v>
      </c>
      <c r="H397">
        <f>RAW_DATA!H397</f>
        <v>0</v>
      </c>
      <c r="I397">
        <f>RAW_DATA!I397</f>
        <v>0</v>
      </c>
      <c r="J397">
        <f>RAW_DATA!J397</f>
        <v>0</v>
      </c>
      <c r="K397">
        <f>RAW_DATA!K397</f>
        <v>0</v>
      </c>
      <c r="L397">
        <f>RAW_DATA!L397</f>
        <v>0</v>
      </c>
      <c r="M397">
        <f>H397*I397</f>
        <v>0</v>
      </c>
      <c r="N397">
        <f>ISOWEEKNUM(B397)</f>
        <v>0</v>
      </c>
      <c r="O397">
        <f>TEXT(B397,"mmm")</f>
        <v>0</v>
      </c>
      <c r="P397">
        <f>"Q"&amp;ROUNDUP(MONTH(B397)/3,0)</f>
        <v>0</v>
      </c>
      <c r="Q397">
        <f>IF(J397&gt;=4,"High",IF(J397&gt;=3,"Medium","Low"))</f>
        <v>0</v>
      </c>
      <c r="R397">
        <f>IF(K397&lt;=5,"On Time","Delayed")</f>
        <v>0</v>
      </c>
    </row>
    <row r="398" spans="1:18">
      <c r="A398">
        <f>RAW_DATA!A398</f>
        <v>0</v>
      </c>
      <c r="B398">
        <f>RAW_DATA!B398</f>
        <v>0</v>
      </c>
      <c r="C398">
        <f>RAW_DATA!C398</f>
        <v>0</v>
      </c>
      <c r="D398">
        <f>RAW_DATA!D398</f>
        <v>0</v>
      </c>
      <c r="E398">
        <f>RAW_DATA!E398</f>
        <v>0</v>
      </c>
      <c r="F398">
        <f>RAW_DATA!F398</f>
        <v>0</v>
      </c>
      <c r="G398">
        <f>RAW_DATA!G398</f>
        <v>0</v>
      </c>
      <c r="H398">
        <f>RAW_DATA!H398</f>
        <v>0</v>
      </c>
      <c r="I398">
        <f>RAW_DATA!I398</f>
        <v>0</v>
      </c>
      <c r="J398">
        <f>RAW_DATA!J398</f>
        <v>0</v>
      </c>
      <c r="K398">
        <f>RAW_DATA!K398</f>
        <v>0</v>
      </c>
      <c r="L398">
        <f>RAW_DATA!L398</f>
        <v>0</v>
      </c>
      <c r="M398">
        <f>H398*I398</f>
        <v>0</v>
      </c>
      <c r="N398">
        <f>ISOWEEKNUM(B398)</f>
        <v>0</v>
      </c>
      <c r="O398">
        <f>TEXT(B398,"mmm")</f>
        <v>0</v>
      </c>
      <c r="P398">
        <f>"Q"&amp;ROUNDUP(MONTH(B398)/3,0)</f>
        <v>0</v>
      </c>
      <c r="Q398">
        <f>IF(J398&gt;=4,"High",IF(J398&gt;=3,"Medium","Low"))</f>
        <v>0</v>
      </c>
      <c r="R398">
        <f>IF(K398&lt;=5,"On Time","Delayed")</f>
        <v>0</v>
      </c>
    </row>
    <row r="399" spans="1:18">
      <c r="A399">
        <f>RAW_DATA!A399</f>
        <v>0</v>
      </c>
      <c r="B399">
        <f>RAW_DATA!B399</f>
        <v>0</v>
      </c>
      <c r="C399">
        <f>RAW_DATA!C399</f>
        <v>0</v>
      </c>
      <c r="D399">
        <f>RAW_DATA!D399</f>
        <v>0</v>
      </c>
      <c r="E399">
        <f>RAW_DATA!E399</f>
        <v>0</v>
      </c>
      <c r="F399">
        <f>RAW_DATA!F399</f>
        <v>0</v>
      </c>
      <c r="G399">
        <f>RAW_DATA!G399</f>
        <v>0</v>
      </c>
      <c r="H399">
        <f>RAW_DATA!H399</f>
        <v>0</v>
      </c>
      <c r="I399">
        <f>RAW_DATA!I399</f>
        <v>0</v>
      </c>
      <c r="J399">
        <f>RAW_DATA!J399</f>
        <v>0</v>
      </c>
      <c r="K399">
        <f>RAW_DATA!K399</f>
        <v>0</v>
      </c>
      <c r="L399">
        <f>RAW_DATA!L399</f>
        <v>0</v>
      </c>
      <c r="M399">
        <f>H399*I399</f>
        <v>0</v>
      </c>
      <c r="N399">
        <f>ISOWEEKNUM(B399)</f>
        <v>0</v>
      </c>
      <c r="O399">
        <f>TEXT(B399,"mmm")</f>
        <v>0</v>
      </c>
      <c r="P399">
        <f>"Q"&amp;ROUNDUP(MONTH(B399)/3,0)</f>
        <v>0</v>
      </c>
      <c r="Q399">
        <f>IF(J399&gt;=4,"High",IF(J399&gt;=3,"Medium","Low"))</f>
        <v>0</v>
      </c>
      <c r="R399">
        <f>IF(K399&lt;=5,"On Time","Delayed")</f>
        <v>0</v>
      </c>
    </row>
    <row r="400" spans="1:18">
      <c r="A400">
        <f>RAW_DATA!A400</f>
        <v>0</v>
      </c>
      <c r="B400">
        <f>RAW_DATA!B400</f>
        <v>0</v>
      </c>
      <c r="C400">
        <f>RAW_DATA!C400</f>
        <v>0</v>
      </c>
      <c r="D400">
        <f>RAW_DATA!D400</f>
        <v>0</v>
      </c>
      <c r="E400">
        <f>RAW_DATA!E400</f>
        <v>0</v>
      </c>
      <c r="F400">
        <f>RAW_DATA!F400</f>
        <v>0</v>
      </c>
      <c r="G400">
        <f>RAW_DATA!G400</f>
        <v>0</v>
      </c>
      <c r="H400">
        <f>RAW_DATA!H400</f>
        <v>0</v>
      </c>
      <c r="I400">
        <f>RAW_DATA!I400</f>
        <v>0</v>
      </c>
      <c r="J400">
        <f>RAW_DATA!J400</f>
        <v>0</v>
      </c>
      <c r="K400">
        <f>RAW_DATA!K400</f>
        <v>0</v>
      </c>
      <c r="L400">
        <f>RAW_DATA!L400</f>
        <v>0</v>
      </c>
      <c r="M400">
        <f>H400*I400</f>
        <v>0</v>
      </c>
      <c r="N400">
        <f>ISOWEEKNUM(B400)</f>
        <v>0</v>
      </c>
      <c r="O400">
        <f>TEXT(B400,"mmm")</f>
        <v>0</v>
      </c>
      <c r="P400">
        <f>"Q"&amp;ROUNDUP(MONTH(B400)/3,0)</f>
        <v>0</v>
      </c>
      <c r="Q400">
        <f>IF(J400&gt;=4,"High",IF(J400&gt;=3,"Medium","Low"))</f>
        <v>0</v>
      </c>
      <c r="R400">
        <f>IF(K400&lt;=5,"On Time","Delayed")</f>
        <v>0</v>
      </c>
    </row>
    <row r="401" spans="1:18">
      <c r="A401">
        <f>RAW_DATA!A401</f>
        <v>0</v>
      </c>
      <c r="B401">
        <f>RAW_DATA!B401</f>
        <v>0</v>
      </c>
      <c r="C401">
        <f>RAW_DATA!C401</f>
        <v>0</v>
      </c>
      <c r="D401">
        <f>RAW_DATA!D401</f>
        <v>0</v>
      </c>
      <c r="E401">
        <f>RAW_DATA!E401</f>
        <v>0</v>
      </c>
      <c r="F401">
        <f>RAW_DATA!F401</f>
        <v>0</v>
      </c>
      <c r="G401">
        <f>RAW_DATA!G401</f>
        <v>0</v>
      </c>
      <c r="H401">
        <f>RAW_DATA!H401</f>
        <v>0</v>
      </c>
      <c r="I401">
        <f>RAW_DATA!I401</f>
        <v>0</v>
      </c>
      <c r="J401">
        <f>RAW_DATA!J401</f>
        <v>0</v>
      </c>
      <c r="K401">
        <f>RAW_DATA!K401</f>
        <v>0</v>
      </c>
      <c r="L401">
        <f>RAW_DATA!L401</f>
        <v>0</v>
      </c>
      <c r="M401">
        <f>H401*I401</f>
        <v>0</v>
      </c>
      <c r="N401">
        <f>ISOWEEKNUM(B401)</f>
        <v>0</v>
      </c>
      <c r="O401">
        <f>TEXT(B401,"mmm")</f>
        <v>0</v>
      </c>
      <c r="P401">
        <f>"Q"&amp;ROUNDUP(MONTH(B401)/3,0)</f>
        <v>0</v>
      </c>
      <c r="Q401">
        <f>IF(J401&gt;=4,"High",IF(J401&gt;=3,"Medium","Low"))</f>
        <v>0</v>
      </c>
      <c r="R401">
        <f>IF(K401&lt;=5,"On Time","Delayed")</f>
        <v>0</v>
      </c>
    </row>
    <row r="402" spans="1:18">
      <c r="A402">
        <f>RAW_DATA!A402</f>
        <v>0</v>
      </c>
      <c r="B402">
        <f>RAW_DATA!B402</f>
        <v>0</v>
      </c>
      <c r="C402">
        <f>RAW_DATA!C402</f>
        <v>0</v>
      </c>
      <c r="D402">
        <f>RAW_DATA!D402</f>
        <v>0</v>
      </c>
      <c r="E402">
        <f>RAW_DATA!E402</f>
        <v>0</v>
      </c>
      <c r="F402">
        <f>RAW_DATA!F402</f>
        <v>0</v>
      </c>
      <c r="G402">
        <f>RAW_DATA!G402</f>
        <v>0</v>
      </c>
      <c r="H402">
        <f>RAW_DATA!H402</f>
        <v>0</v>
      </c>
      <c r="I402">
        <f>RAW_DATA!I402</f>
        <v>0</v>
      </c>
      <c r="J402">
        <f>RAW_DATA!J402</f>
        <v>0</v>
      </c>
      <c r="K402">
        <f>RAW_DATA!K402</f>
        <v>0</v>
      </c>
      <c r="L402">
        <f>RAW_DATA!L402</f>
        <v>0</v>
      </c>
      <c r="M402">
        <f>H402*I402</f>
        <v>0</v>
      </c>
      <c r="N402">
        <f>ISOWEEKNUM(B402)</f>
        <v>0</v>
      </c>
      <c r="O402">
        <f>TEXT(B402,"mmm")</f>
        <v>0</v>
      </c>
      <c r="P402">
        <f>"Q"&amp;ROUNDUP(MONTH(B402)/3,0)</f>
        <v>0</v>
      </c>
      <c r="Q402">
        <f>IF(J402&gt;=4,"High",IF(J402&gt;=3,"Medium","Low"))</f>
        <v>0</v>
      </c>
      <c r="R402">
        <f>IF(K402&lt;=5,"On Time","Delayed")</f>
        <v>0</v>
      </c>
    </row>
    <row r="403" spans="1:18">
      <c r="A403">
        <f>RAW_DATA!A403</f>
        <v>0</v>
      </c>
      <c r="B403">
        <f>RAW_DATA!B403</f>
        <v>0</v>
      </c>
      <c r="C403">
        <f>RAW_DATA!C403</f>
        <v>0</v>
      </c>
      <c r="D403">
        <f>RAW_DATA!D403</f>
        <v>0</v>
      </c>
      <c r="E403">
        <f>RAW_DATA!E403</f>
        <v>0</v>
      </c>
      <c r="F403">
        <f>RAW_DATA!F403</f>
        <v>0</v>
      </c>
      <c r="G403">
        <f>RAW_DATA!G403</f>
        <v>0</v>
      </c>
      <c r="H403">
        <f>RAW_DATA!H403</f>
        <v>0</v>
      </c>
      <c r="I403">
        <f>RAW_DATA!I403</f>
        <v>0</v>
      </c>
      <c r="J403">
        <f>RAW_DATA!J403</f>
        <v>0</v>
      </c>
      <c r="K403">
        <f>RAW_DATA!K403</f>
        <v>0</v>
      </c>
      <c r="L403">
        <f>RAW_DATA!L403</f>
        <v>0</v>
      </c>
      <c r="M403">
        <f>H403*I403</f>
        <v>0</v>
      </c>
      <c r="N403">
        <f>ISOWEEKNUM(B403)</f>
        <v>0</v>
      </c>
      <c r="O403">
        <f>TEXT(B403,"mmm")</f>
        <v>0</v>
      </c>
      <c r="P403">
        <f>"Q"&amp;ROUNDUP(MONTH(B403)/3,0)</f>
        <v>0</v>
      </c>
      <c r="Q403">
        <f>IF(J403&gt;=4,"High",IF(J403&gt;=3,"Medium","Low"))</f>
        <v>0</v>
      </c>
      <c r="R403">
        <f>IF(K403&lt;=5,"On Time","Delayed")</f>
        <v>0</v>
      </c>
    </row>
    <row r="404" spans="1:18">
      <c r="A404">
        <f>RAW_DATA!A404</f>
        <v>0</v>
      </c>
      <c r="B404">
        <f>RAW_DATA!B404</f>
        <v>0</v>
      </c>
      <c r="C404">
        <f>RAW_DATA!C404</f>
        <v>0</v>
      </c>
      <c r="D404">
        <f>RAW_DATA!D404</f>
        <v>0</v>
      </c>
      <c r="E404">
        <f>RAW_DATA!E404</f>
        <v>0</v>
      </c>
      <c r="F404">
        <f>RAW_DATA!F404</f>
        <v>0</v>
      </c>
      <c r="G404">
        <f>RAW_DATA!G404</f>
        <v>0</v>
      </c>
      <c r="H404">
        <f>RAW_DATA!H404</f>
        <v>0</v>
      </c>
      <c r="I404">
        <f>RAW_DATA!I404</f>
        <v>0</v>
      </c>
      <c r="J404">
        <f>RAW_DATA!J404</f>
        <v>0</v>
      </c>
      <c r="K404">
        <f>RAW_DATA!K404</f>
        <v>0</v>
      </c>
      <c r="L404">
        <f>RAW_DATA!L404</f>
        <v>0</v>
      </c>
      <c r="M404">
        <f>H404*I404</f>
        <v>0</v>
      </c>
      <c r="N404">
        <f>ISOWEEKNUM(B404)</f>
        <v>0</v>
      </c>
      <c r="O404">
        <f>TEXT(B404,"mmm")</f>
        <v>0</v>
      </c>
      <c r="P404">
        <f>"Q"&amp;ROUNDUP(MONTH(B404)/3,0)</f>
        <v>0</v>
      </c>
      <c r="Q404">
        <f>IF(J404&gt;=4,"High",IF(J404&gt;=3,"Medium","Low"))</f>
        <v>0</v>
      </c>
      <c r="R404">
        <f>IF(K404&lt;=5,"On Time","Delayed")</f>
        <v>0</v>
      </c>
    </row>
    <row r="405" spans="1:18">
      <c r="A405">
        <f>RAW_DATA!A405</f>
        <v>0</v>
      </c>
      <c r="B405">
        <f>RAW_DATA!B405</f>
        <v>0</v>
      </c>
      <c r="C405">
        <f>RAW_DATA!C405</f>
        <v>0</v>
      </c>
      <c r="D405">
        <f>RAW_DATA!D405</f>
        <v>0</v>
      </c>
      <c r="E405">
        <f>RAW_DATA!E405</f>
        <v>0</v>
      </c>
      <c r="F405">
        <f>RAW_DATA!F405</f>
        <v>0</v>
      </c>
      <c r="G405">
        <f>RAW_DATA!G405</f>
        <v>0</v>
      </c>
      <c r="H405">
        <f>RAW_DATA!H405</f>
        <v>0</v>
      </c>
      <c r="I405">
        <f>RAW_DATA!I405</f>
        <v>0</v>
      </c>
      <c r="J405">
        <f>RAW_DATA!J405</f>
        <v>0</v>
      </c>
      <c r="K405">
        <f>RAW_DATA!K405</f>
        <v>0</v>
      </c>
      <c r="L405">
        <f>RAW_DATA!L405</f>
        <v>0</v>
      </c>
      <c r="M405">
        <f>H405*I405</f>
        <v>0</v>
      </c>
      <c r="N405">
        <f>ISOWEEKNUM(B405)</f>
        <v>0</v>
      </c>
      <c r="O405">
        <f>TEXT(B405,"mmm")</f>
        <v>0</v>
      </c>
      <c r="P405">
        <f>"Q"&amp;ROUNDUP(MONTH(B405)/3,0)</f>
        <v>0</v>
      </c>
      <c r="Q405">
        <f>IF(J405&gt;=4,"High",IF(J405&gt;=3,"Medium","Low"))</f>
        <v>0</v>
      </c>
      <c r="R405">
        <f>IF(K405&lt;=5,"On Time","Delayed")</f>
        <v>0</v>
      </c>
    </row>
    <row r="406" spans="1:18">
      <c r="A406">
        <f>RAW_DATA!A406</f>
        <v>0</v>
      </c>
      <c r="B406">
        <f>RAW_DATA!B406</f>
        <v>0</v>
      </c>
      <c r="C406">
        <f>RAW_DATA!C406</f>
        <v>0</v>
      </c>
      <c r="D406">
        <f>RAW_DATA!D406</f>
        <v>0</v>
      </c>
      <c r="E406">
        <f>RAW_DATA!E406</f>
        <v>0</v>
      </c>
      <c r="F406">
        <f>RAW_DATA!F406</f>
        <v>0</v>
      </c>
      <c r="G406">
        <f>RAW_DATA!G406</f>
        <v>0</v>
      </c>
      <c r="H406">
        <f>RAW_DATA!H406</f>
        <v>0</v>
      </c>
      <c r="I406">
        <f>RAW_DATA!I406</f>
        <v>0</v>
      </c>
      <c r="J406">
        <f>RAW_DATA!J406</f>
        <v>0</v>
      </c>
      <c r="K406">
        <f>RAW_DATA!K406</f>
        <v>0</v>
      </c>
      <c r="L406">
        <f>RAW_DATA!L406</f>
        <v>0</v>
      </c>
      <c r="M406">
        <f>H406*I406</f>
        <v>0</v>
      </c>
      <c r="N406">
        <f>ISOWEEKNUM(B406)</f>
        <v>0</v>
      </c>
      <c r="O406">
        <f>TEXT(B406,"mmm")</f>
        <v>0</v>
      </c>
      <c r="P406">
        <f>"Q"&amp;ROUNDUP(MONTH(B406)/3,0)</f>
        <v>0</v>
      </c>
      <c r="Q406">
        <f>IF(J406&gt;=4,"High",IF(J406&gt;=3,"Medium","Low"))</f>
        <v>0</v>
      </c>
      <c r="R406">
        <f>IF(K406&lt;=5,"On Time","Delayed")</f>
        <v>0</v>
      </c>
    </row>
    <row r="407" spans="1:18">
      <c r="A407">
        <f>RAW_DATA!A407</f>
        <v>0</v>
      </c>
      <c r="B407">
        <f>RAW_DATA!B407</f>
        <v>0</v>
      </c>
      <c r="C407">
        <f>RAW_DATA!C407</f>
        <v>0</v>
      </c>
      <c r="D407">
        <f>RAW_DATA!D407</f>
        <v>0</v>
      </c>
      <c r="E407">
        <f>RAW_DATA!E407</f>
        <v>0</v>
      </c>
      <c r="F407">
        <f>RAW_DATA!F407</f>
        <v>0</v>
      </c>
      <c r="G407">
        <f>RAW_DATA!G407</f>
        <v>0</v>
      </c>
      <c r="H407">
        <f>RAW_DATA!H407</f>
        <v>0</v>
      </c>
      <c r="I407">
        <f>RAW_DATA!I407</f>
        <v>0</v>
      </c>
      <c r="J407">
        <f>RAW_DATA!J407</f>
        <v>0</v>
      </c>
      <c r="K407">
        <f>RAW_DATA!K407</f>
        <v>0</v>
      </c>
      <c r="L407">
        <f>RAW_DATA!L407</f>
        <v>0</v>
      </c>
      <c r="M407">
        <f>H407*I407</f>
        <v>0</v>
      </c>
      <c r="N407">
        <f>ISOWEEKNUM(B407)</f>
        <v>0</v>
      </c>
      <c r="O407">
        <f>TEXT(B407,"mmm")</f>
        <v>0</v>
      </c>
      <c r="P407">
        <f>"Q"&amp;ROUNDUP(MONTH(B407)/3,0)</f>
        <v>0</v>
      </c>
      <c r="Q407">
        <f>IF(J407&gt;=4,"High",IF(J407&gt;=3,"Medium","Low"))</f>
        <v>0</v>
      </c>
      <c r="R407">
        <f>IF(K407&lt;=5,"On Time","Delayed")</f>
        <v>0</v>
      </c>
    </row>
    <row r="408" spans="1:18">
      <c r="A408">
        <f>RAW_DATA!A408</f>
        <v>0</v>
      </c>
      <c r="B408">
        <f>RAW_DATA!B408</f>
        <v>0</v>
      </c>
      <c r="C408">
        <f>RAW_DATA!C408</f>
        <v>0</v>
      </c>
      <c r="D408">
        <f>RAW_DATA!D408</f>
        <v>0</v>
      </c>
      <c r="E408">
        <f>RAW_DATA!E408</f>
        <v>0</v>
      </c>
      <c r="F408">
        <f>RAW_DATA!F408</f>
        <v>0</v>
      </c>
      <c r="G408">
        <f>RAW_DATA!G408</f>
        <v>0</v>
      </c>
      <c r="H408">
        <f>RAW_DATA!H408</f>
        <v>0</v>
      </c>
      <c r="I408">
        <f>RAW_DATA!I408</f>
        <v>0</v>
      </c>
      <c r="J408">
        <f>RAW_DATA!J408</f>
        <v>0</v>
      </c>
      <c r="K408">
        <f>RAW_DATA!K408</f>
        <v>0</v>
      </c>
      <c r="L408">
        <f>RAW_DATA!L408</f>
        <v>0</v>
      </c>
      <c r="M408">
        <f>H408*I408</f>
        <v>0</v>
      </c>
      <c r="N408">
        <f>ISOWEEKNUM(B408)</f>
        <v>0</v>
      </c>
      <c r="O408">
        <f>TEXT(B408,"mmm")</f>
        <v>0</v>
      </c>
      <c r="P408">
        <f>"Q"&amp;ROUNDUP(MONTH(B408)/3,0)</f>
        <v>0</v>
      </c>
      <c r="Q408">
        <f>IF(J408&gt;=4,"High",IF(J408&gt;=3,"Medium","Low"))</f>
        <v>0</v>
      </c>
      <c r="R408">
        <f>IF(K408&lt;=5,"On Time","Delayed")</f>
        <v>0</v>
      </c>
    </row>
    <row r="409" spans="1:18">
      <c r="A409">
        <f>RAW_DATA!A409</f>
        <v>0</v>
      </c>
      <c r="B409">
        <f>RAW_DATA!B409</f>
        <v>0</v>
      </c>
      <c r="C409">
        <f>RAW_DATA!C409</f>
        <v>0</v>
      </c>
      <c r="D409">
        <f>RAW_DATA!D409</f>
        <v>0</v>
      </c>
      <c r="E409">
        <f>RAW_DATA!E409</f>
        <v>0</v>
      </c>
      <c r="F409">
        <f>RAW_DATA!F409</f>
        <v>0</v>
      </c>
      <c r="G409">
        <f>RAW_DATA!G409</f>
        <v>0</v>
      </c>
      <c r="H409">
        <f>RAW_DATA!H409</f>
        <v>0</v>
      </c>
      <c r="I409">
        <f>RAW_DATA!I409</f>
        <v>0</v>
      </c>
      <c r="J409">
        <f>RAW_DATA!J409</f>
        <v>0</v>
      </c>
      <c r="K409">
        <f>RAW_DATA!K409</f>
        <v>0</v>
      </c>
      <c r="L409">
        <f>RAW_DATA!L409</f>
        <v>0</v>
      </c>
      <c r="M409">
        <f>H409*I409</f>
        <v>0</v>
      </c>
      <c r="N409">
        <f>ISOWEEKNUM(B409)</f>
        <v>0</v>
      </c>
      <c r="O409">
        <f>TEXT(B409,"mmm")</f>
        <v>0</v>
      </c>
      <c r="P409">
        <f>"Q"&amp;ROUNDUP(MONTH(B409)/3,0)</f>
        <v>0</v>
      </c>
      <c r="Q409">
        <f>IF(J409&gt;=4,"High",IF(J409&gt;=3,"Medium","Low"))</f>
        <v>0</v>
      </c>
      <c r="R409">
        <f>IF(K409&lt;=5,"On Time","Delayed")</f>
        <v>0</v>
      </c>
    </row>
    <row r="410" spans="1:18">
      <c r="A410">
        <f>RAW_DATA!A410</f>
        <v>0</v>
      </c>
      <c r="B410">
        <f>RAW_DATA!B410</f>
        <v>0</v>
      </c>
      <c r="C410">
        <f>RAW_DATA!C410</f>
        <v>0</v>
      </c>
      <c r="D410">
        <f>RAW_DATA!D410</f>
        <v>0</v>
      </c>
      <c r="E410">
        <f>RAW_DATA!E410</f>
        <v>0</v>
      </c>
      <c r="F410">
        <f>RAW_DATA!F410</f>
        <v>0</v>
      </c>
      <c r="G410">
        <f>RAW_DATA!G410</f>
        <v>0</v>
      </c>
      <c r="H410">
        <f>RAW_DATA!H410</f>
        <v>0</v>
      </c>
      <c r="I410">
        <f>RAW_DATA!I410</f>
        <v>0</v>
      </c>
      <c r="J410">
        <f>RAW_DATA!J410</f>
        <v>0</v>
      </c>
      <c r="K410">
        <f>RAW_DATA!K410</f>
        <v>0</v>
      </c>
      <c r="L410">
        <f>RAW_DATA!L410</f>
        <v>0</v>
      </c>
      <c r="M410">
        <f>H410*I410</f>
        <v>0</v>
      </c>
      <c r="N410">
        <f>ISOWEEKNUM(B410)</f>
        <v>0</v>
      </c>
      <c r="O410">
        <f>TEXT(B410,"mmm")</f>
        <v>0</v>
      </c>
      <c r="P410">
        <f>"Q"&amp;ROUNDUP(MONTH(B410)/3,0)</f>
        <v>0</v>
      </c>
      <c r="Q410">
        <f>IF(J410&gt;=4,"High",IF(J410&gt;=3,"Medium","Low"))</f>
        <v>0</v>
      </c>
      <c r="R410">
        <f>IF(K410&lt;=5,"On Time","Delayed")</f>
        <v>0</v>
      </c>
    </row>
    <row r="411" spans="1:18">
      <c r="A411">
        <f>RAW_DATA!A411</f>
        <v>0</v>
      </c>
      <c r="B411">
        <f>RAW_DATA!B411</f>
        <v>0</v>
      </c>
      <c r="C411">
        <f>RAW_DATA!C411</f>
        <v>0</v>
      </c>
      <c r="D411">
        <f>RAW_DATA!D411</f>
        <v>0</v>
      </c>
      <c r="E411">
        <f>RAW_DATA!E411</f>
        <v>0</v>
      </c>
      <c r="F411">
        <f>RAW_DATA!F411</f>
        <v>0</v>
      </c>
      <c r="G411">
        <f>RAW_DATA!G411</f>
        <v>0</v>
      </c>
      <c r="H411">
        <f>RAW_DATA!H411</f>
        <v>0</v>
      </c>
      <c r="I411">
        <f>RAW_DATA!I411</f>
        <v>0</v>
      </c>
      <c r="J411">
        <f>RAW_DATA!J411</f>
        <v>0</v>
      </c>
      <c r="K411">
        <f>RAW_DATA!K411</f>
        <v>0</v>
      </c>
      <c r="L411">
        <f>RAW_DATA!L411</f>
        <v>0</v>
      </c>
      <c r="M411">
        <f>H411*I411</f>
        <v>0</v>
      </c>
      <c r="N411">
        <f>ISOWEEKNUM(B411)</f>
        <v>0</v>
      </c>
      <c r="O411">
        <f>TEXT(B411,"mmm")</f>
        <v>0</v>
      </c>
      <c r="P411">
        <f>"Q"&amp;ROUNDUP(MONTH(B411)/3,0)</f>
        <v>0</v>
      </c>
      <c r="Q411">
        <f>IF(J411&gt;=4,"High",IF(J411&gt;=3,"Medium","Low"))</f>
        <v>0</v>
      </c>
      <c r="R411">
        <f>IF(K411&lt;=5,"On Time","Delayed")</f>
        <v>0</v>
      </c>
    </row>
    <row r="412" spans="1:18">
      <c r="A412">
        <f>RAW_DATA!A412</f>
        <v>0</v>
      </c>
      <c r="B412">
        <f>RAW_DATA!B412</f>
        <v>0</v>
      </c>
      <c r="C412">
        <f>RAW_DATA!C412</f>
        <v>0</v>
      </c>
      <c r="D412">
        <f>RAW_DATA!D412</f>
        <v>0</v>
      </c>
      <c r="E412">
        <f>RAW_DATA!E412</f>
        <v>0</v>
      </c>
      <c r="F412">
        <f>RAW_DATA!F412</f>
        <v>0</v>
      </c>
      <c r="G412">
        <f>RAW_DATA!G412</f>
        <v>0</v>
      </c>
      <c r="H412">
        <f>RAW_DATA!H412</f>
        <v>0</v>
      </c>
      <c r="I412">
        <f>RAW_DATA!I412</f>
        <v>0</v>
      </c>
      <c r="J412">
        <f>RAW_DATA!J412</f>
        <v>0</v>
      </c>
      <c r="K412">
        <f>RAW_DATA!K412</f>
        <v>0</v>
      </c>
      <c r="L412">
        <f>RAW_DATA!L412</f>
        <v>0</v>
      </c>
      <c r="M412">
        <f>H412*I412</f>
        <v>0</v>
      </c>
      <c r="N412">
        <f>ISOWEEKNUM(B412)</f>
        <v>0</v>
      </c>
      <c r="O412">
        <f>TEXT(B412,"mmm")</f>
        <v>0</v>
      </c>
      <c r="P412">
        <f>"Q"&amp;ROUNDUP(MONTH(B412)/3,0)</f>
        <v>0</v>
      </c>
      <c r="Q412">
        <f>IF(J412&gt;=4,"High",IF(J412&gt;=3,"Medium","Low"))</f>
        <v>0</v>
      </c>
      <c r="R412">
        <f>IF(K412&lt;=5,"On Time","Delayed")</f>
        <v>0</v>
      </c>
    </row>
    <row r="413" spans="1:18">
      <c r="A413">
        <f>RAW_DATA!A413</f>
        <v>0</v>
      </c>
      <c r="B413">
        <f>RAW_DATA!B413</f>
        <v>0</v>
      </c>
      <c r="C413">
        <f>RAW_DATA!C413</f>
        <v>0</v>
      </c>
      <c r="D413">
        <f>RAW_DATA!D413</f>
        <v>0</v>
      </c>
      <c r="E413">
        <f>RAW_DATA!E413</f>
        <v>0</v>
      </c>
      <c r="F413">
        <f>RAW_DATA!F413</f>
        <v>0</v>
      </c>
      <c r="G413">
        <f>RAW_DATA!G413</f>
        <v>0</v>
      </c>
      <c r="H413">
        <f>RAW_DATA!H413</f>
        <v>0</v>
      </c>
      <c r="I413">
        <f>RAW_DATA!I413</f>
        <v>0</v>
      </c>
      <c r="J413">
        <f>RAW_DATA!J413</f>
        <v>0</v>
      </c>
      <c r="K413">
        <f>RAW_DATA!K413</f>
        <v>0</v>
      </c>
      <c r="L413">
        <f>RAW_DATA!L413</f>
        <v>0</v>
      </c>
      <c r="M413">
        <f>H413*I413</f>
        <v>0</v>
      </c>
      <c r="N413">
        <f>ISOWEEKNUM(B413)</f>
        <v>0</v>
      </c>
      <c r="O413">
        <f>TEXT(B413,"mmm")</f>
        <v>0</v>
      </c>
      <c r="P413">
        <f>"Q"&amp;ROUNDUP(MONTH(B413)/3,0)</f>
        <v>0</v>
      </c>
      <c r="Q413">
        <f>IF(J413&gt;=4,"High",IF(J413&gt;=3,"Medium","Low"))</f>
        <v>0</v>
      </c>
      <c r="R413">
        <f>IF(K413&lt;=5,"On Time","Delayed")</f>
        <v>0</v>
      </c>
    </row>
    <row r="414" spans="1:18">
      <c r="A414">
        <f>RAW_DATA!A414</f>
        <v>0</v>
      </c>
      <c r="B414">
        <f>RAW_DATA!B414</f>
        <v>0</v>
      </c>
      <c r="C414">
        <f>RAW_DATA!C414</f>
        <v>0</v>
      </c>
      <c r="D414">
        <f>RAW_DATA!D414</f>
        <v>0</v>
      </c>
      <c r="E414">
        <f>RAW_DATA!E414</f>
        <v>0</v>
      </c>
      <c r="F414">
        <f>RAW_DATA!F414</f>
        <v>0</v>
      </c>
      <c r="G414">
        <f>RAW_DATA!G414</f>
        <v>0</v>
      </c>
      <c r="H414">
        <f>RAW_DATA!H414</f>
        <v>0</v>
      </c>
      <c r="I414">
        <f>RAW_DATA!I414</f>
        <v>0</v>
      </c>
      <c r="J414">
        <f>RAW_DATA!J414</f>
        <v>0</v>
      </c>
      <c r="K414">
        <f>RAW_DATA!K414</f>
        <v>0</v>
      </c>
      <c r="L414">
        <f>RAW_DATA!L414</f>
        <v>0</v>
      </c>
      <c r="M414">
        <f>H414*I414</f>
        <v>0</v>
      </c>
      <c r="N414">
        <f>ISOWEEKNUM(B414)</f>
        <v>0</v>
      </c>
      <c r="O414">
        <f>TEXT(B414,"mmm")</f>
        <v>0</v>
      </c>
      <c r="P414">
        <f>"Q"&amp;ROUNDUP(MONTH(B414)/3,0)</f>
        <v>0</v>
      </c>
      <c r="Q414">
        <f>IF(J414&gt;=4,"High",IF(J414&gt;=3,"Medium","Low"))</f>
        <v>0</v>
      </c>
      <c r="R414">
        <f>IF(K414&lt;=5,"On Time","Delayed")</f>
        <v>0</v>
      </c>
    </row>
    <row r="415" spans="1:18">
      <c r="A415">
        <f>RAW_DATA!A415</f>
        <v>0</v>
      </c>
      <c r="B415">
        <f>RAW_DATA!B415</f>
        <v>0</v>
      </c>
      <c r="C415">
        <f>RAW_DATA!C415</f>
        <v>0</v>
      </c>
      <c r="D415">
        <f>RAW_DATA!D415</f>
        <v>0</v>
      </c>
      <c r="E415">
        <f>RAW_DATA!E415</f>
        <v>0</v>
      </c>
      <c r="F415">
        <f>RAW_DATA!F415</f>
        <v>0</v>
      </c>
      <c r="G415">
        <f>RAW_DATA!G415</f>
        <v>0</v>
      </c>
      <c r="H415">
        <f>RAW_DATA!H415</f>
        <v>0</v>
      </c>
      <c r="I415">
        <f>RAW_DATA!I415</f>
        <v>0</v>
      </c>
      <c r="J415">
        <f>RAW_DATA!J415</f>
        <v>0</v>
      </c>
      <c r="K415">
        <f>RAW_DATA!K415</f>
        <v>0</v>
      </c>
      <c r="L415">
        <f>RAW_DATA!L415</f>
        <v>0</v>
      </c>
      <c r="M415">
        <f>H415*I415</f>
        <v>0</v>
      </c>
      <c r="N415">
        <f>ISOWEEKNUM(B415)</f>
        <v>0</v>
      </c>
      <c r="O415">
        <f>TEXT(B415,"mmm")</f>
        <v>0</v>
      </c>
      <c r="P415">
        <f>"Q"&amp;ROUNDUP(MONTH(B415)/3,0)</f>
        <v>0</v>
      </c>
      <c r="Q415">
        <f>IF(J415&gt;=4,"High",IF(J415&gt;=3,"Medium","Low"))</f>
        <v>0</v>
      </c>
      <c r="R415">
        <f>IF(K415&lt;=5,"On Time","Delayed")</f>
        <v>0</v>
      </c>
    </row>
    <row r="416" spans="1:18">
      <c r="A416">
        <f>RAW_DATA!A416</f>
        <v>0</v>
      </c>
      <c r="B416">
        <f>RAW_DATA!B416</f>
        <v>0</v>
      </c>
      <c r="C416">
        <f>RAW_DATA!C416</f>
        <v>0</v>
      </c>
      <c r="D416">
        <f>RAW_DATA!D416</f>
        <v>0</v>
      </c>
      <c r="E416">
        <f>RAW_DATA!E416</f>
        <v>0</v>
      </c>
      <c r="F416">
        <f>RAW_DATA!F416</f>
        <v>0</v>
      </c>
      <c r="G416">
        <f>RAW_DATA!G416</f>
        <v>0</v>
      </c>
      <c r="H416">
        <f>RAW_DATA!H416</f>
        <v>0</v>
      </c>
      <c r="I416">
        <f>RAW_DATA!I416</f>
        <v>0</v>
      </c>
      <c r="J416">
        <f>RAW_DATA!J416</f>
        <v>0</v>
      </c>
      <c r="K416">
        <f>RAW_DATA!K416</f>
        <v>0</v>
      </c>
      <c r="L416">
        <f>RAW_DATA!L416</f>
        <v>0</v>
      </c>
      <c r="M416">
        <f>H416*I416</f>
        <v>0</v>
      </c>
      <c r="N416">
        <f>ISOWEEKNUM(B416)</f>
        <v>0</v>
      </c>
      <c r="O416">
        <f>TEXT(B416,"mmm")</f>
        <v>0</v>
      </c>
      <c r="P416">
        <f>"Q"&amp;ROUNDUP(MONTH(B416)/3,0)</f>
        <v>0</v>
      </c>
      <c r="Q416">
        <f>IF(J416&gt;=4,"High",IF(J416&gt;=3,"Medium","Low"))</f>
        <v>0</v>
      </c>
      <c r="R416">
        <f>IF(K416&lt;=5,"On Time","Delayed")</f>
        <v>0</v>
      </c>
    </row>
    <row r="417" spans="1:18">
      <c r="A417">
        <f>RAW_DATA!A417</f>
        <v>0</v>
      </c>
      <c r="B417">
        <f>RAW_DATA!B417</f>
        <v>0</v>
      </c>
      <c r="C417">
        <f>RAW_DATA!C417</f>
        <v>0</v>
      </c>
      <c r="D417">
        <f>RAW_DATA!D417</f>
        <v>0</v>
      </c>
      <c r="E417">
        <f>RAW_DATA!E417</f>
        <v>0</v>
      </c>
      <c r="F417">
        <f>RAW_DATA!F417</f>
        <v>0</v>
      </c>
      <c r="G417">
        <f>RAW_DATA!G417</f>
        <v>0</v>
      </c>
      <c r="H417">
        <f>RAW_DATA!H417</f>
        <v>0</v>
      </c>
      <c r="I417">
        <f>RAW_DATA!I417</f>
        <v>0</v>
      </c>
      <c r="J417">
        <f>RAW_DATA!J417</f>
        <v>0</v>
      </c>
      <c r="K417">
        <f>RAW_DATA!K417</f>
        <v>0</v>
      </c>
      <c r="L417">
        <f>RAW_DATA!L417</f>
        <v>0</v>
      </c>
      <c r="M417">
        <f>H417*I417</f>
        <v>0</v>
      </c>
      <c r="N417">
        <f>ISOWEEKNUM(B417)</f>
        <v>0</v>
      </c>
      <c r="O417">
        <f>TEXT(B417,"mmm")</f>
        <v>0</v>
      </c>
      <c r="P417">
        <f>"Q"&amp;ROUNDUP(MONTH(B417)/3,0)</f>
        <v>0</v>
      </c>
      <c r="Q417">
        <f>IF(J417&gt;=4,"High",IF(J417&gt;=3,"Medium","Low"))</f>
        <v>0</v>
      </c>
      <c r="R417">
        <f>IF(K417&lt;=5,"On Time","Delayed")</f>
        <v>0</v>
      </c>
    </row>
    <row r="418" spans="1:18">
      <c r="A418">
        <f>RAW_DATA!A418</f>
        <v>0</v>
      </c>
      <c r="B418">
        <f>RAW_DATA!B418</f>
        <v>0</v>
      </c>
      <c r="C418">
        <f>RAW_DATA!C418</f>
        <v>0</v>
      </c>
      <c r="D418">
        <f>RAW_DATA!D418</f>
        <v>0</v>
      </c>
      <c r="E418">
        <f>RAW_DATA!E418</f>
        <v>0</v>
      </c>
      <c r="F418">
        <f>RAW_DATA!F418</f>
        <v>0</v>
      </c>
      <c r="G418">
        <f>RAW_DATA!G418</f>
        <v>0</v>
      </c>
      <c r="H418">
        <f>RAW_DATA!H418</f>
        <v>0</v>
      </c>
      <c r="I418">
        <f>RAW_DATA!I418</f>
        <v>0</v>
      </c>
      <c r="J418">
        <f>RAW_DATA!J418</f>
        <v>0</v>
      </c>
      <c r="K418">
        <f>RAW_DATA!K418</f>
        <v>0</v>
      </c>
      <c r="L418">
        <f>RAW_DATA!L418</f>
        <v>0</v>
      </c>
      <c r="M418">
        <f>H418*I418</f>
        <v>0</v>
      </c>
      <c r="N418">
        <f>ISOWEEKNUM(B418)</f>
        <v>0</v>
      </c>
      <c r="O418">
        <f>TEXT(B418,"mmm")</f>
        <v>0</v>
      </c>
      <c r="P418">
        <f>"Q"&amp;ROUNDUP(MONTH(B418)/3,0)</f>
        <v>0</v>
      </c>
      <c r="Q418">
        <f>IF(J418&gt;=4,"High",IF(J418&gt;=3,"Medium","Low"))</f>
        <v>0</v>
      </c>
      <c r="R418">
        <f>IF(K418&lt;=5,"On Time","Delayed")</f>
        <v>0</v>
      </c>
    </row>
    <row r="419" spans="1:18">
      <c r="A419">
        <f>RAW_DATA!A419</f>
        <v>0</v>
      </c>
      <c r="B419">
        <f>RAW_DATA!B419</f>
        <v>0</v>
      </c>
      <c r="C419">
        <f>RAW_DATA!C419</f>
        <v>0</v>
      </c>
      <c r="D419">
        <f>RAW_DATA!D419</f>
        <v>0</v>
      </c>
      <c r="E419">
        <f>RAW_DATA!E419</f>
        <v>0</v>
      </c>
      <c r="F419">
        <f>RAW_DATA!F419</f>
        <v>0</v>
      </c>
      <c r="G419">
        <f>RAW_DATA!G419</f>
        <v>0</v>
      </c>
      <c r="H419">
        <f>RAW_DATA!H419</f>
        <v>0</v>
      </c>
      <c r="I419">
        <f>RAW_DATA!I419</f>
        <v>0</v>
      </c>
      <c r="J419">
        <f>RAW_DATA!J419</f>
        <v>0</v>
      </c>
      <c r="K419">
        <f>RAW_DATA!K419</f>
        <v>0</v>
      </c>
      <c r="L419">
        <f>RAW_DATA!L419</f>
        <v>0</v>
      </c>
      <c r="M419">
        <f>H419*I419</f>
        <v>0</v>
      </c>
      <c r="N419">
        <f>ISOWEEKNUM(B419)</f>
        <v>0</v>
      </c>
      <c r="O419">
        <f>TEXT(B419,"mmm")</f>
        <v>0</v>
      </c>
      <c r="P419">
        <f>"Q"&amp;ROUNDUP(MONTH(B419)/3,0)</f>
        <v>0</v>
      </c>
      <c r="Q419">
        <f>IF(J419&gt;=4,"High",IF(J419&gt;=3,"Medium","Low"))</f>
        <v>0</v>
      </c>
      <c r="R419">
        <f>IF(K419&lt;=5,"On Time","Delayed")</f>
        <v>0</v>
      </c>
    </row>
    <row r="420" spans="1:18">
      <c r="A420">
        <f>RAW_DATA!A420</f>
        <v>0</v>
      </c>
      <c r="B420">
        <f>RAW_DATA!B420</f>
        <v>0</v>
      </c>
      <c r="C420">
        <f>RAW_DATA!C420</f>
        <v>0</v>
      </c>
      <c r="D420">
        <f>RAW_DATA!D420</f>
        <v>0</v>
      </c>
      <c r="E420">
        <f>RAW_DATA!E420</f>
        <v>0</v>
      </c>
      <c r="F420">
        <f>RAW_DATA!F420</f>
        <v>0</v>
      </c>
      <c r="G420">
        <f>RAW_DATA!G420</f>
        <v>0</v>
      </c>
      <c r="H420">
        <f>RAW_DATA!H420</f>
        <v>0</v>
      </c>
      <c r="I420">
        <f>RAW_DATA!I420</f>
        <v>0</v>
      </c>
      <c r="J420">
        <f>RAW_DATA!J420</f>
        <v>0</v>
      </c>
      <c r="K420">
        <f>RAW_DATA!K420</f>
        <v>0</v>
      </c>
      <c r="L420">
        <f>RAW_DATA!L420</f>
        <v>0</v>
      </c>
      <c r="M420">
        <f>H420*I420</f>
        <v>0</v>
      </c>
      <c r="N420">
        <f>ISOWEEKNUM(B420)</f>
        <v>0</v>
      </c>
      <c r="O420">
        <f>TEXT(B420,"mmm")</f>
        <v>0</v>
      </c>
      <c r="P420">
        <f>"Q"&amp;ROUNDUP(MONTH(B420)/3,0)</f>
        <v>0</v>
      </c>
      <c r="Q420">
        <f>IF(J420&gt;=4,"High",IF(J420&gt;=3,"Medium","Low"))</f>
        <v>0</v>
      </c>
      <c r="R420">
        <f>IF(K420&lt;=5,"On Time","Delayed")</f>
        <v>0</v>
      </c>
    </row>
    <row r="421" spans="1:18">
      <c r="A421">
        <f>RAW_DATA!A421</f>
        <v>0</v>
      </c>
      <c r="B421">
        <f>RAW_DATA!B421</f>
        <v>0</v>
      </c>
      <c r="C421">
        <f>RAW_DATA!C421</f>
        <v>0</v>
      </c>
      <c r="D421">
        <f>RAW_DATA!D421</f>
        <v>0</v>
      </c>
      <c r="E421">
        <f>RAW_DATA!E421</f>
        <v>0</v>
      </c>
      <c r="F421">
        <f>RAW_DATA!F421</f>
        <v>0</v>
      </c>
      <c r="G421">
        <f>RAW_DATA!G421</f>
        <v>0</v>
      </c>
      <c r="H421">
        <f>RAW_DATA!H421</f>
        <v>0</v>
      </c>
      <c r="I421">
        <f>RAW_DATA!I421</f>
        <v>0</v>
      </c>
      <c r="J421">
        <f>RAW_DATA!J421</f>
        <v>0</v>
      </c>
      <c r="K421">
        <f>RAW_DATA!K421</f>
        <v>0</v>
      </c>
      <c r="L421">
        <f>RAW_DATA!L421</f>
        <v>0</v>
      </c>
      <c r="M421">
        <f>H421*I421</f>
        <v>0</v>
      </c>
      <c r="N421">
        <f>ISOWEEKNUM(B421)</f>
        <v>0</v>
      </c>
      <c r="O421">
        <f>TEXT(B421,"mmm")</f>
        <v>0</v>
      </c>
      <c r="P421">
        <f>"Q"&amp;ROUNDUP(MONTH(B421)/3,0)</f>
        <v>0</v>
      </c>
      <c r="Q421">
        <f>IF(J421&gt;=4,"High",IF(J421&gt;=3,"Medium","Low"))</f>
        <v>0</v>
      </c>
      <c r="R421">
        <f>IF(K421&lt;=5,"On Time","Delayed")</f>
        <v>0</v>
      </c>
    </row>
    <row r="422" spans="1:18">
      <c r="A422">
        <f>RAW_DATA!A422</f>
        <v>0</v>
      </c>
      <c r="B422">
        <f>RAW_DATA!B422</f>
        <v>0</v>
      </c>
      <c r="C422">
        <f>RAW_DATA!C422</f>
        <v>0</v>
      </c>
      <c r="D422">
        <f>RAW_DATA!D422</f>
        <v>0</v>
      </c>
      <c r="E422">
        <f>RAW_DATA!E422</f>
        <v>0</v>
      </c>
      <c r="F422">
        <f>RAW_DATA!F422</f>
        <v>0</v>
      </c>
      <c r="G422">
        <f>RAW_DATA!G422</f>
        <v>0</v>
      </c>
      <c r="H422">
        <f>RAW_DATA!H422</f>
        <v>0</v>
      </c>
      <c r="I422">
        <f>RAW_DATA!I422</f>
        <v>0</v>
      </c>
      <c r="J422">
        <f>RAW_DATA!J422</f>
        <v>0</v>
      </c>
      <c r="K422">
        <f>RAW_DATA!K422</f>
        <v>0</v>
      </c>
      <c r="L422">
        <f>RAW_DATA!L422</f>
        <v>0</v>
      </c>
      <c r="M422">
        <f>H422*I422</f>
        <v>0</v>
      </c>
      <c r="N422">
        <f>ISOWEEKNUM(B422)</f>
        <v>0</v>
      </c>
      <c r="O422">
        <f>TEXT(B422,"mmm")</f>
        <v>0</v>
      </c>
      <c r="P422">
        <f>"Q"&amp;ROUNDUP(MONTH(B422)/3,0)</f>
        <v>0</v>
      </c>
      <c r="Q422">
        <f>IF(J422&gt;=4,"High",IF(J422&gt;=3,"Medium","Low"))</f>
        <v>0</v>
      </c>
      <c r="R422">
        <f>IF(K422&lt;=5,"On Time","Delayed")</f>
        <v>0</v>
      </c>
    </row>
    <row r="423" spans="1:18">
      <c r="A423">
        <f>RAW_DATA!A423</f>
        <v>0</v>
      </c>
      <c r="B423">
        <f>RAW_DATA!B423</f>
        <v>0</v>
      </c>
      <c r="C423">
        <f>RAW_DATA!C423</f>
        <v>0</v>
      </c>
      <c r="D423">
        <f>RAW_DATA!D423</f>
        <v>0</v>
      </c>
      <c r="E423">
        <f>RAW_DATA!E423</f>
        <v>0</v>
      </c>
      <c r="F423">
        <f>RAW_DATA!F423</f>
        <v>0</v>
      </c>
      <c r="G423">
        <f>RAW_DATA!G423</f>
        <v>0</v>
      </c>
      <c r="H423">
        <f>RAW_DATA!H423</f>
        <v>0</v>
      </c>
      <c r="I423">
        <f>RAW_DATA!I423</f>
        <v>0</v>
      </c>
      <c r="J423">
        <f>RAW_DATA!J423</f>
        <v>0</v>
      </c>
      <c r="K423">
        <f>RAW_DATA!K423</f>
        <v>0</v>
      </c>
      <c r="L423">
        <f>RAW_DATA!L423</f>
        <v>0</v>
      </c>
      <c r="M423">
        <f>H423*I423</f>
        <v>0</v>
      </c>
      <c r="N423">
        <f>ISOWEEKNUM(B423)</f>
        <v>0</v>
      </c>
      <c r="O423">
        <f>TEXT(B423,"mmm")</f>
        <v>0</v>
      </c>
      <c r="P423">
        <f>"Q"&amp;ROUNDUP(MONTH(B423)/3,0)</f>
        <v>0</v>
      </c>
      <c r="Q423">
        <f>IF(J423&gt;=4,"High",IF(J423&gt;=3,"Medium","Low"))</f>
        <v>0</v>
      </c>
      <c r="R423">
        <f>IF(K423&lt;=5,"On Time","Delayed")</f>
        <v>0</v>
      </c>
    </row>
    <row r="424" spans="1:18">
      <c r="A424">
        <f>RAW_DATA!A424</f>
        <v>0</v>
      </c>
      <c r="B424">
        <f>RAW_DATA!B424</f>
        <v>0</v>
      </c>
      <c r="C424">
        <f>RAW_DATA!C424</f>
        <v>0</v>
      </c>
      <c r="D424">
        <f>RAW_DATA!D424</f>
        <v>0</v>
      </c>
      <c r="E424">
        <f>RAW_DATA!E424</f>
        <v>0</v>
      </c>
      <c r="F424">
        <f>RAW_DATA!F424</f>
        <v>0</v>
      </c>
      <c r="G424">
        <f>RAW_DATA!G424</f>
        <v>0</v>
      </c>
      <c r="H424">
        <f>RAW_DATA!H424</f>
        <v>0</v>
      </c>
      <c r="I424">
        <f>RAW_DATA!I424</f>
        <v>0</v>
      </c>
      <c r="J424">
        <f>RAW_DATA!J424</f>
        <v>0</v>
      </c>
      <c r="K424">
        <f>RAW_DATA!K424</f>
        <v>0</v>
      </c>
      <c r="L424">
        <f>RAW_DATA!L424</f>
        <v>0</v>
      </c>
      <c r="M424">
        <f>H424*I424</f>
        <v>0</v>
      </c>
      <c r="N424">
        <f>ISOWEEKNUM(B424)</f>
        <v>0</v>
      </c>
      <c r="O424">
        <f>TEXT(B424,"mmm")</f>
        <v>0</v>
      </c>
      <c r="P424">
        <f>"Q"&amp;ROUNDUP(MONTH(B424)/3,0)</f>
        <v>0</v>
      </c>
      <c r="Q424">
        <f>IF(J424&gt;=4,"High",IF(J424&gt;=3,"Medium","Low"))</f>
        <v>0</v>
      </c>
      <c r="R424">
        <f>IF(K424&lt;=5,"On Time","Delayed")</f>
        <v>0</v>
      </c>
    </row>
    <row r="425" spans="1:18">
      <c r="A425">
        <f>RAW_DATA!A425</f>
        <v>0</v>
      </c>
      <c r="B425">
        <f>RAW_DATA!B425</f>
        <v>0</v>
      </c>
      <c r="C425">
        <f>RAW_DATA!C425</f>
        <v>0</v>
      </c>
      <c r="D425">
        <f>RAW_DATA!D425</f>
        <v>0</v>
      </c>
      <c r="E425">
        <f>RAW_DATA!E425</f>
        <v>0</v>
      </c>
      <c r="F425">
        <f>RAW_DATA!F425</f>
        <v>0</v>
      </c>
      <c r="G425">
        <f>RAW_DATA!G425</f>
        <v>0</v>
      </c>
      <c r="H425">
        <f>RAW_DATA!H425</f>
        <v>0</v>
      </c>
      <c r="I425">
        <f>RAW_DATA!I425</f>
        <v>0</v>
      </c>
      <c r="J425">
        <f>RAW_DATA!J425</f>
        <v>0</v>
      </c>
      <c r="K425">
        <f>RAW_DATA!K425</f>
        <v>0</v>
      </c>
      <c r="L425">
        <f>RAW_DATA!L425</f>
        <v>0</v>
      </c>
      <c r="M425">
        <f>H425*I425</f>
        <v>0</v>
      </c>
      <c r="N425">
        <f>ISOWEEKNUM(B425)</f>
        <v>0</v>
      </c>
      <c r="O425">
        <f>TEXT(B425,"mmm")</f>
        <v>0</v>
      </c>
      <c r="P425">
        <f>"Q"&amp;ROUNDUP(MONTH(B425)/3,0)</f>
        <v>0</v>
      </c>
      <c r="Q425">
        <f>IF(J425&gt;=4,"High",IF(J425&gt;=3,"Medium","Low"))</f>
        <v>0</v>
      </c>
      <c r="R425">
        <f>IF(K425&lt;=5,"On Time","Delayed")</f>
        <v>0</v>
      </c>
    </row>
    <row r="426" spans="1:18">
      <c r="A426">
        <f>RAW_DATA!A426</f>
        <v>0</v>
      </c>
      <c r="B426">
        <f>RAW_DATA!B426</f>
        <v>0</v>
      </c>
      <c r="C426">
        <f>RAW_DATA!C426</f>
        <v>0</v>
      </c>
      <c r="D426">
        <f>RAW_DATA!D426</f>
        <v>0</v>
      </c>
      <c r="E426">
        <f>RAW_DATA!E426</f>
        <v>0</v>
      </c>
      <c r="F426">
        <f>RAW_DATA!F426</f>
        <v>0</v>
      </c>
      <c r="G426">
        <f>RAW_DATA!G426</f>
        <v>0</v>
      </c>
      <c r="H426">
        <f>RAW_DATA!H426</f>
        <v>0</v>
      </c>
      <c r="I426">
        <f>RAW_DATA!I426</f>
        <v>0</v>
      </c>
      <c r="J426">
        <f>RAW_DATA!J426</f>
        <v>0</v>
      </c>
      <c r="K426">
        <f>RAW_DATA!K426</f>
        <v>0</v>
      </c>
      <c r="L426">
        <f>RAW_DATA!L426</f>
        <v>0</v>
      </c>
      <c r="M426">
        <f>H426*I426</f>
        <v>0</v>
      </c>
      <c r="N426">
        <f>ISOWEEKNUM(B426)</f>
        <v>0</v>
      </c>
      <c r="O426">
        <f>TEXT(B426,"mmm")</f>
        <v>0</v>
      </c>
      <c r="P426">
        <f>"Q"&amp;ROUNDUP(MONTH(B426)/3,0)</f>
        <v>0</v>
      </c>
      <c r="Q426">
        <f>IF(J426&gt;=4,"High",IF(J426&gt;=3,"Medium","Low"))</f>
        <v>0</v>
      </c>
      <c r="R426">
        <f>IF(K426&lt;=5,"On Time","Delayed")</f>
        <v>0</v>
      </c>
    </row>
    <row r="427" spans="1:18">
      <c r="A427">
        <f>RAW_DATA!A427</f>
        <v>0</v>
      </c>
      <c r="B427">
        <f>RAW_DATA!B427</f>
        <v>0</v>
      </c>
      <c r="C427">
        <f>RAW_DATA!C427</f>
        <v>0</v>
      </c>
      <c r="D427">
        <f>RAW_DATA!D427</f>
        <v>0</v>
      </c>
      <c r="E427">
        <f>RAW_DATA!E427</f>
        <v>0</v>
      </c>
      <c r="F427">
        <f>RAW_DATA!F427</f>
        <v>0</v>
      </c>
      <c r="G427">
        <f>RAW_DATA!G427</f>
        <v>0</v>
      </c>
      <c r="H427">
        <f>RAW_DATA!H427</f>
        <v>0</v>
      </c>
      <c r="I427">
        <f>RAW_DATA!I427</f>
        <v>0</v>
      </c>
      <c r="J427">
        <f>RAW_DATA!J427</f>
        <v>0</v>
      </c>
      <c r="K427">
        <f>RAW_DATA!K427</f>
        <v>0</v>
      </c>
      <c r="L427">
        <f>RAW_DATA!L427</f>
        <v>0</v>
      </c>
      <c r="M427">
        <f>H427*I427</f>
        <v>0</v>
      </c>
      <c r="N427">
        <f>ISOWEEKNUM(B427)</f>
        <v>0</v>
      </c>
      <c r="O427">
        <f>TEXT(B427,"mmm")</f>
        <v>0</v>
      </c>
      <c r="P427">
        <f>"Q"&amp;ROUNDUP(MONTH(B427)/3,0)</f>
        <v>0</v>
      </c>
      <c r="Q427">
        <f>IF(J427&gt;=4,"High",IF(J427&gt;=3,"Medium","Low"))</f>
        <v>0</v>
      </c>
      <c r="R427">
        <f>IF(K427&lt;=5,"On Time","Delayed")</f>
        <v>0</v>
      </c>
    </row>
    <row r="428" spans="1:18">
      <c r="A428">
        <f>RAW_DATA!A428</f>
        <v>0</v>
      </c>
      <c r="B428">
        <f>RAW_DATA!B428</f>
        <v>0</v>
      </c>
      <c r="C428">
        <f>RAW_DATA!C428</f>
        <v>0</v>
      </c>
      <c r="D428">
        <f>RAW_DATA!D428</f>
        <v>0</v>
      </c>
      <c r="E428">
        <f>RAW_DATA!E428</f>
        <v>0</v>
      </c>
      <c r="F428">
        <f>RAW_DATA!F428</f>
        <v>0</v>
      </c>
      <c r="G428">
        <f>RAW_DATA!G428</f>
        <v>0</v>
      </c>
      <c r="H428">
        <f>RAW_DATA!H428</f>
        <v>0</v>
      </c>
      <c r="I428">
        <f>RAW_DATA!I428</f>
        <v>0</v>
      </c>
      <c r="J428">
        <f>RAW_DATA!J428</f>
        <v>0</v>
      </c>
      <c r="K428">
        <f>RAW_DATA!K428</f>
        <v>0</v>
      </c>
      <c r="L428">
        <f>RAW_DATA!L428</f>
        <v>0</v>
      </c>
      <c r="M428">
        <f>H428*I428</f>
        <v>0</v>
      </c>
      <c r="N428">
        <f>ISOWEEKNUM(B428)</f>
        <v>0</v>
      </c>
      <c r="O428">
        <f>TEXT(B428,"mmm")</f>
        <v>0</v>
      </c>
      <c r="P428">
        <f>"Q"&amp;ROUNDUP(MONTH(B428)/3,0)</f>
        <v>0</v>
      </c>
      <c r="Q428">
        <f>IF(J428&gt;=4,"High",IF(J428&gt;=3,"Medium","Low"))</f>
        <v>0</v>
      </c>
      <c r="R428">
        <f>IF(K428&lt;=5,"On Time","Delayed")</f>
        <v>0</v>
      </c>
    </row>
    <row r="429" spans="1:18">
      <c r="A429">
        <f>RAW_DATA!A429</f>
        <v>0</v>
      </c>
      <c r="B429">
        <f>RAW_DATA!B429</f>
        <v>0</v>
      </c>
      <c r="C429">
        <f>RAW_DATA!C429</f>
        <v>0</v>
      </c>
      <c r="D429">
        <f>RAW_DATA!D429</f>
        <v>0</v>
      </c>
      <c r="E429">
        <f>RAW_DATA!E429</f>
        <v>0</v>
      </c>
      <c r="F429">
        <f>RAW_DATA!F429</f>
        <v>0</v>
      </c>
      <c r="G429">
        <f>RAW_DATA!G429</f>
        <v>0</v>
      </c>
      <c r="H429">
        <f>RAW_DATA!H429</f>
        <v>0</v>
      </c>
      <c r="I429">
        <f>RAW_DATA!I429</f>
        <v>0</v>
      </c>
      <c r="J429">
        <f>RAW_DATA!J429</f>
        <v>0</v>
      </c>
      <c r="K429">
        <f>RAW_DATA!K429</f>
        <v>0</v>
      </c>
      <c r="L429">
        <f>RAW_DATA!L429</f>
        <v>0</v>
      </c>
      <c r="M429">
        <f>H429*I429</f>
        <v>0</v>
      </c>
      <c r="N429">
        <f>ISOWEEKNUM(B429)</f>
        <v>0</v>
      </c>
      <c r="O429">
        <f>TEXT(B429,"mmm")</f>
        <v>0</v>
      </c>
      <c r="P429">
        <f>"Q"&amp;ROUNDUP(MONTH(B429)/3,0)</f>
        <v>0</v>
      </c>
      <c r="Q429">
        <f>IF(J429&gt;=4,"High",IF(J429&gt;=3,"Medium","Low"))</f>
        <v>0</v>
      </c>
      <c r="R429">
        <f>IF(K429&lt;=5,"On Time","Delayed")</f>
        <v>0</v>
      </c>
    </row>
    <row r="430" spans="1:18">
      <c r="A430">
        <f>RAW_DATA!A430</f>
        <v>0</v>
      </c>
      <c r="B430">
        <f>RAW_DATA!B430</f>
        <v>0</v>
      </c>
      <c r="C430">
        <f>RAW_DATA!C430</f>
        <v>0</v>
      </c>
      <c r="D430">
        <f>RAW_DATA!D430</f>
        <v>0</v>
      </c>
      <c r="E430">
        <f>RAW_DATA!E430</f>
        <v>0</v>
      </c>
      <c r="F430">
        <f>RAW_DATA!F430</f>
        <v>0</v>
      </c>
      <c r="G430">
        <f>RAW_DATA!G430</f>
        <v>0</v>
      </c>
      <c r="H430">
        <f>RAW_DATA!H430</f>
        <v>0</v>
      </c>
      <c r="I430">
        <f>RAW_DATA!I430</f>
        <v>0</v>
      </c>
      <c r="J430">
        <f>RAW_DATA!J430</f>
        <v>0</v>
      </c>
      <c r="K430">
        <f>RAW_DATA!K430</f>
        <v>0</v>
      </c>
      <c r="L430">
        <f>RAW_DATA!L430</f>
        <v>0</v>
      </c>
      <c r="M430">
        <f>H430*I430</f>
        <v>0</v>
      </c>
      <c r="N430">
        <f>ISOWEEKNUM(B430)</f>
        <v>0</v>
      </c>
      <c r="O430">
        <f>TEXT(B430,"mmm")</f>
        <v>0</v>
      </c>
      <c r="P430">
        <f>"Q"&amp;ROUNDUP(MONTH(B430)/3,0)</f>
        <v>0</v>
      </c>
      <c r="Q430">
        <f>IF(J430&gt;=4,"High",IF(J430&gt;=3,"Medium","Low"))</f>
        <v>0</v>
      </c>
      <c r="R430">
        <f>IF(K430&lt;=5,"On Time","Delayed")</f>
        <v>0</v>
      </c>
    </row>
    <row r="431" spans="1:18">
      <c r="A431">
        <f>RAW_DATA!A431</f>
        <v>0</v>
      </c>
      <c r="B431">
        <f>RAW_DATA!B431</f>
        <v>0</v>
      </c>
      <c r="C431">
        <f>RAW_DATA!C431</f>
        <v>0</v>
      </c>
      <c r="D431">
        <f>RAW_DATA!D431</f>
        <v>0</v>
      </c>
      <c r="E431">
        <f>RAW_DATA!E431</f>
        <v>0</v>
      </c>
      <c r="F431">
        <f>RAW_DATA!F431</f>
        <v>0</v>
      </c>
      <c r="G431">
        <f>RAW_DATA!G431</f>
        <v>0</v>
      </c>
      <c r="H431">
        <f>RAW_DATA!H431</f>
        <v>0</v>
      </c>
      <c r="I431">
        <f>RAW_DATA!I431</f>
        <v>0</v>
      </c>
      <c r="J431">
        <f>RAW_DATA!J431</f>
        <v>0</v>
      </c>
      <c r="K431">
        <f>RAW_DATA!K431</f>
        <v>0</v>
      </c>
      <c r="L431">
        <f>RAW_DATA!L431</f>
        <v>0</v>
      </c>
      <c r="M431">
        <f>H431*I431</f>
        <v>0</v>
      </c>
      <c r="N431">
        <f>ISOWEEKNUM(B431)</f>
        <v>0</v>
      </c>
      <c r="O431">
        <f>TEXT(B431,"mmm")</f>
        <v>0</v>
      </c>
      <c r="P431">
        <f>"Q"&amp;ROUNDUP(MONTH(B431)/3,0)</f>
        <v>0</v>
      </c>
      <c r="Q431">
        <f>IF(J431&gt;=4,"High",IF(J431&gt;=3,"Medium","Low"))</f>
        <v>0</v>
      </c>
      <c r="R431">
        <f>IF(K431&lt;=5,"On Time","Delayed")</f>
        <v>0</v>
      </c>
    </row>
    <row r="432" spans="1:18">
      <c r="A432">
        <f>RAW_DATA!A432</f>
        <v>0</v>
      </c>
      <c r="B432">
        <f>RAW_DATA!B432</f>
        <v>0</v>
      </c>
      <c r="C432">
        <f>RAW_DATA!C432</f>
        <v>0</v>
      </c>
      <c r="D432">
        <f>RAW_DATA!D432</f>
        <v>0</v>
      </c>
      <c r="E432">
        <f>RAW_DATA!E432</f>
        <v>0</v>
      </c>
      <c r="F432">
        <f>RAW_DATA!F432</f>
        <v>0</v>
      </c>
      <c r="G432">
        <f>RAW_DATA!G432</f>
        <v>0</v>
      </c>
      <c r="H432">
        <f>RAW_DATA!H432</f>
        <v>0</v>
      </c>
      <c r="I432">
        <f>RAW_DATA!I432</f>
        <v>0</v>
      </c>
      <c r="J432">
        <f>RAW_DATA!J432</f>
        <v>0</v>
      </c>
      <c r="K432">
        <f>RAW_DATA!K432</f>
        <v>0</v>
      </c>
      <c r="L432">
        <f>RAW_DATA!L432</f>
        <v>0</v>
      </c>
      <c r="M432">
        <f>H432*I432</f>
        <v>0</v>
      </c>
      <c r="N432">
        <f>ISOWEEKNUM(B432)</f>
        <v>0</v>
      </c>
      <c r="O432">
        <f>TEXT(B432,"mmm")</f>
        <v>0</v>
      </c>
      <c r="P432">
        <f>"Q"&amp;ROUNDUP(MONTH(B432)/3,0)</f>
        <v>0</v>
      </c>
      <c r="Q432">
        <f>IF(J432&gt;=4,"High",IF(J432&gt;=3,"Medium","Low"))</f>
        <v>0</v>
      </c>
      <c r="R432">
        <f>IF(K432&lt;=5,"On Time","Delayed")</f>
        <v>0</v>
      </c>
    </row>
    <row r="433" spans="1:18">
      <c r="A433">
        <f>RAW_DATA!A433</f>
        <v>0</v>
      </c>
      <c r="B433">
        <f>RAW_DATA!B433</f>
        <v>0</v>
      </c>
      <c r="C433">
        <f>RAW_DATA!C433</f>
        <v>0</v>
      </c>
      <c r="D433">
        <f>RAW_DATA!D433</f>
        <v>0</v>
      </c>
      <c r="E433">
        <f>RAW_DATA!E433</f>
        <v>0</v>
      </c>
      <c r="F433">
        <f>RAW_DATA!F433</f>
        <v>0</v>
      </c>
      <c r="G433">
        <f>RAW_DATA!G433</f>
        <v>0</v>
      </c>
      <c r="H433">
        <f>RAW_DATA!H433</f>
        <v>0</v>
      </c>
      <c r="I433">
        <f>RAW_DATA!I433</f>
        <v>0</v>
      </c>
      <c r="J433">
        <f>RAW_DATA!J433</f>
        <v>0</v>
      </c>
      <c r="K433">
        <f>RAW_DATA!K433</f>
        <v>0</v>
      </c>
      <c r="L433">
        <f>RAW_DATA!L433</f>
        <v>0</v>
      </c>
      <c r="M433">
        <f>H433*I433</f>
        <v>0</v>
      </c>
      <c r="N433">
        <f>ISOWEEKNUM(B433)</f>
        <v>0</v>
      </c>
      <c r="O433">
        <f>TEXT(B433,"mmm")</f>
        <v>0</v>
      </c>
      <c r="P433">
        <f>"Q"&amp;ROUNDUP(MONTH(B433)/3,0)</f>
        <v>0</v>
      </c>
      <c r="Q433">
        <f>IF(J433&gt;=4,"High",IF(J433&gt;=3,"Medium","Low"))</f>
        <v>0</v>
      </c>
      <c r="R433">
        <f>IF(K433&lt;=5,"On Time","Delayed")</f>
        <v>0</v>
      </c>
    </row>
    <row r="434" spans="1:18">
      <c r="A434">
        <f>RAW_DATA!A434</f>
        <v>0</v>
      </c>
      <c r="B434">
        <f>RAW_DATA!B434</f>
        <v>0</v>
      </c>
      <c r="C434">
        <f>RAW_DATA!C434</f>
        <v>0</v>
      </c>
      <c r="D434">
        <f>RAW_DATA!D434</f>
        <v>0</v>
      </c>
      <c r="E434">
        <f>RAW_DATA!E434</f>
        <v>0</v>
      </c>
      <c r="F434">
        <f>RAW_DATA!F434</f>
        <v>0</v>
      </c>
      <c r="G434">
        <f>RAW_DATA!G434</f>
        <v>0</v>
      </c>
      <c r="H434">
        <f>RAW_DATA!H434</f>
        <v>0</v>
      </c>
      <c r="I434">
        <f>RAW_DATA!I434</f>
        <v>0</v>
      </c>
      <c r="J434">
        <f>RAW_DATA!J434</f>
        <v>0</v>
      </c>
      <c r="K434">
        <f>RAW_DATA!K434</f>
        <v>0</v>
      </c>
      <c r="L434">
        <f>RAW_DATA!L434</f>
        <v>0</v>
      </c>
      <c r="M434">
        <f>H434*I434</f>
        <v>0</v>
      </c>
      <c r="N434">
        <f>ISOWEEKNUM(B434)</f>
        <v>0</v>
      </c>
      <c r="O434">
        <f>TEXT(B434,"mmm")</f>
        <v>0</v>
      </c>
      <c r="P434">
        <f>"Q"&amp;ROUNDUP(MONTH(B434)/3,0)</f>
        <v>0</v>
      </c>
      <c r="Q434">
        <f>IF(J434&gt;=4,"High",IF(J434&gt;=3,"Medium","Low"))</f>
        <v>0</v>
      </c>
      <c r="R434">
        <f>IF(K434&lt;=5,"On Time","Delayed")</f>
        <v>0</v>
      </c>
    </row>
    <row r="435" spans="1:18">
      <c r="A435">
        <f>RAW_DATA!A435</f>
        <v>0</v>
      </c>
      <c r="B435">
        <f>RAW_DATA!B435</f>
        <v>0</v>
      </c>
      <c r="C435">
        <f>RAW_DATA!C435</f>
        <v>0</v>
      </c>
      <c r="D435">
        <f>RAW_DATA!D435</f>
        <v>0</v>
      </c>
      <c r="E435">
        <f>RAW_DATA!E435</f>
        <v>0</v>
      </c>
      <c r="F435">
        <f>RAW_DATA!F435</f>
        <v>0</v>
      </c>
      <c r="G435">
        <f>RAW_DATA!G435</f>
        <v>0</v>
      </c>
      <c r="H435">
        <f>RAW_DATA!H435</f>
        <v>0</v>
      </c>
      <c r="I435">
        <f>RAW_DATA!I435</f>
        <v>0</v>
      </c>
      <c r="J435">
        <f>RAW_DATA!J435</f>
        <v>0</v>
      </c>
      <c r="K435">
        <f>RAW_DATA!K435</f>
        <v>0</v>
      </c>
      <c r="L435">
        <f>RAW_DATA!L435</f>
        <v>0</v>
      </c>
      <c r="M435">
        <f>H435*I435</f>
        <v>0</v>
      </c>
      <c r="N435">
        <f>ISOWEEKNUM(B435)</f>
        <v>0</v>
      </c>
      <c r="O435">
        <f>TEXT(B435,"mmm")</f>
        <v>0</v>
      </c>
      <c r="P435">
        <f>"Q"&amp;ROUNDUP(MONTH(B435)/3,0)</f>
        <v>0</v>
      </c>
      <c r="Q435">
        <f>IF(J435&gt;=4,"High",IF(J435&gt;=3,"Medium","Low"))</f>
        <v>0</v>
      </c>
      <c r="R435">
        <f>IF(K435&lt;=5,"On Time","Delayed")</f>
        <v>0</v>
      </c>
    </row>
    <row r="436" spans="1:18">
      <c r="A436">
        <f>RAW_DATA!A436</f>
        <v>0</v>
      </c>
      <c r="B436">
        <f>RAW_DATA!B436</f>
        <v>0</v>
      </c>
      <c r="C436">
        <f>RAW_DATA!C436</f>
        <v>0</v>
      </c>
      <c r="D436">
        <f>RAW_DATA!D436</f>
        <v>0</v>
      </c>
      <c r="E436">
        <f>RAW_DATA!E436</f>
        <v>0</v>
      </c>
      <c r="F436">
        <f>RAW_DATA!F436</f>
        <v>0</v>
      </c>
      <c r="G436">
        <f>RAW_DATA!G436</f>
        <v>0</v>
      </c>
      <c r="H436">
        <f>RAW_DATA!H436</f>
        <v>0</v>
      </c>
      <c r="I436">
        <f>RAW_DATA!I436</f>
        <v>0</v>
      </c>
      <c r="J436">
        <f>RAW_DATA!J436</f>
        <v>0</v>
      </c>
      <c r="K436">
        <f>RAW_DATA!K436</f>
        <v>0</v>
      </c>
      <c r="L436">
        <f>RAW_DATA!L436</f>
        <v>0</v>
      </c>
      <c r="M436">
        <f>H436*I436</f>
        <v>0</v>
      </c>
      <c r="N436">
        <f>ISOWEEKNUM(B436)</f>
        <v>0</v>
      </c>
      <c r="O436">
        <f>TEXT(B436,"mmm")</f>
        <v>0</v>
      </c>
      <c r="P436">
        <f>"Q"&amp;ROUNDUP(MONTH(B436)/3,0)</f>
        <v>0</v>
      </c>
      <c r="Q436">
        <f>IF(J436&gt;=4,"High",IF(J436&gt;=3,"Medium","Low"))</f>
        <v>0</v>
      </c>
      <c r="R436">
        <f>IF(K436&lt;=5,"On Time","Delayed")</f>
        <v>0</v>
      </c>
    </row>
    <row r="437" spans="1:18">
      <c r="A437">
        <f>RAW_DATA!A437</f>
        <v>0</v>
      </c>
      <c r="B437">
        <f>RAW_DATA!B437</f>
        <v>0</v>
      </c>
      <c r="C437">
        <f>RAW_DATA!C437</f>
        <v>0</v>
      </c>
      <c r="D437">
        <f>RAW_DATA!D437</f>
        <v>0</v>
      </c>
      <c r="E437">
        <f>RAW_DATA!E437</f>
        <v>0</v>
      </c>
      <c r="F437">
        <f>RAW_DATA!F437</f>
        <v>0</v>
      </c>
      <c r="G437">
        <f>RAW_DATA!G437</f>
        <v>0</v>
      </c>
      <c r="H437">
        <f>RAW_DATA!H437</f>
        <v>0</v>
      </c>
      <c r="I437">
        <f>RAW_DATA!I437</f>
        <v>0</v>
      </c>
      <c r="J437">
        <f>RAW_DATA!J437</f>
        <v>0</v>
      </c>
      <c r="K437">
        <f>RAW_DATA!K437</f>
        <v>0</v>
      </c>
      <c r="L437">
        <f>RAW_DATA!L437</f>
        <v>0</v>
      </c>
      <c r="M437">
        <f>H437*I437</f>
        <v>0</v>
      </c>
      <c r="N437">
        <f>ISOWEEKNUM(B437)</f>
        <v>0</v>
      </c>
      <c r="O437">
        <f>TEXT(B437,"mmm")</f>
        <v>0</v>
      </c>
      <c r="P437">
        <f>"Q"&amp;ROUNDUP(MONTH(B437)/3,0)</f>
        <v>0</v>
      </c>
      <c r="Q437">
        <f>IF(J437&gt;=4,"High",IF(J437&gt;=3,"Medium","Low"))</f>
        <v>0</v>
      </c>
      <c r="R437">
        <f>IF(K437&lt;=5,"On Time","Delayed")</f>
        <v>0</v>
      </c>
    </row>
    <row r="438" spans="1:18">
      <c r="A438">
        <f>RAW_DATA!A438</f>
        <v>0</v>
      </c>
      <c r="B438">
        <f>RAW_DATA!B438</f>
        <v>0</v>
      </c>
      <c r="C438">
        <f>RAW_DATA!C438</f>
        <v>0</v>
      </c>
      <c r="D438">
        <f>RAW_DATA!D438</f>
        <v>0</v>
      </c>
      <c r="E438">
        <f>RAW_DATA!E438</f>
        <v>0</v>
      </c>
      <c r="F438">
        <f>RAW_DATA!F438</f>
        <v>0</v>
      </c>
      <c r="G438">
        <f>RAW_DATA!G438</f>
        <v>0</v>
      </c>
      <c r="H438">
        <f>RAW_DATA!H438</f>
        <v>0</v>
      </c>
      <c r="I438">
        <f>RAW_DATA!I438</f>
        <v>0</v>
      </c>
      <c r="J438">
        <f>RAW_DATA!J438</f>
        <v>0</v>
      </c>
      <c r="K438">
        <f>RAW_DATA!K438</f>
        <v>0</v>
      </c>
      <c r="L438">
        <f>RAW_DATA!L438</f>
        <v>0</v>
      </c>
      <c r="M438">
        <f>H438*I438</f>
        <v>0</v>
      </c>
      <c r="N438">
        <f>ISOWEEKNUM(B438)</f>
        <v>0</v>
      </c>
      <c r="O438">
        <f>TEXT(B438,"mmm")</f>
        <v>0</v>
      </c>
      <c r="P438">
        <f>"Q"&amp;ROUNDUP(MONTH(B438)/3,0)</f>
        <v>0</v>
      </c>
      <c r="Q438">
        <f>IF(J438&gt;=4,"High",IF(J438&gt;=3,"Medium","Low"))</f>
        <v>0</v>
      </c>
      <c r="R438">
        <f>IF(K438&lt;=5,"On Time","Delayed")</f>
        <v>0</v>
      </c>
    </row>
    <row r="439" spans="1:18">
      <c r="A439">
        <f>RAW_DATA!A439</f>
        <v>0</v>
      </c>
      <c r="B439">
        <f>RAW_DATA!B439</f>
        <v>0</v>
      </c>
      <c r="C439">
        <f>RAW_DATA!C439</f>
        <v>0</v>
      </c>
      <c r="D439">
        <f>RAW_DATA!D439</f>
        <v>0</v>
      </c>
      <c r="E439">
        <f>RAW_DATA!E439</f>
        <v>0</v>
      </c>
      <c r="F439">
        <f>RAW_DATA!F439</f>
        <v>0</v>
      </c>
      <c r="G439">
        <f>RAW_DATA!G439</f>
        <v>0</v>
      </c>
      <c r="H439">
        <f>RAW_DATA!H439</f>
        <v>0</v>
      </c>
      <c r="I439">
        <f>RAW_DATA!I439</f>
        <v>0</v>
      </c>
      <c r="J439">
        <f>RAW_DATA!J439</f>
        <v>0</v>
      </c>
      <c r="K439">
        <f>RAW_DATA!K439</f>
        <v>0</v>
      </c>
      <c r="L439">
        <f>RAW_DATA!L439</f>
        <v>0</v>
      </c>
      <c r="M439">
        <f>H439*I439</f>
        <v>0</v>
      </c>
      <c r="N439">
        <f>ISOWEEKNUM(B439)</f>
        <v>0</v>
      </c>
      <c r="O439">
        <f>TEXT(B439,"mmm")</f>
        <v>0</v>
      </c>
      <c r="P439">
        <f>"Q"&amp;ROUNDUP(MONTH(B439)/3,0)</f>
        <v>0</v>
      </c>
      <c r="Q439">
        <f>IF(J439&gt;=4,"High",IF(J439&gt;=3,"Medium","Low"))</f>
        <v>0</v>
      </c>
      <c r="R439">
        <f>IF(K439&lt;=5,"On Time","Delayed")</f>
        <v>0</v>
      </c>
    </row>
    <row r="440" spans="1:18">
      <c r="A440">
        <f>RAW_DATA!A440</f>
        <v>0</v>
      </c>
      <c r="B440">
        <f>RAW_DATA!B440</f>
        <v>0</v>
      </c>
      <c r="C440">
        <f>RAW_DATA!C440</f>
        <v>0</v>
      </c>
      <c r="D440">
        <f>RAW_DATA!D440</f>
        <v>0</v>
      </c>
      <c r="E440">
        <f>RAW_DATA!E440</f>
        <v>0</v>
      </c>
      <c r="F440">
        <f>RAW_DATA!F440</f>
        <v>0</v>
      </c>
      <c r="G440">
        <f>RAW_DATA!G440</f>
        <v>0</v>
      </c>
      <c r="H440">
        <f>RAW_DATA!H440</f>
        <v>0</v>
      </c>
      <c r="I440">
        <f>RAW_DATA!I440</f>
        <v>0</v>
      </c>
      <c r="J440">
        <f>RAW_DATA!J440</f>
        <v>0</v>
      </c>
      <c r="K440">
        <f>RAW_DATA!K440</f>
        <v>0</v>
      </c>
      <c r="L440">
        <f>RAW_DATA!L440</f>
        <v>0</v>
      </c>
      <c r="M440">
        <f>H440*I440</f>
        <v>0</v>
      </c>
      <c r="N440">
        <f>ISOWEEKNUM(B440)</f>
        <v>0</v>
      </c>
      <c r="O440">
        <f>TEXT(B440,"mmm")</f>
        <v>0</v>
      </c>
      <c r="P440">
        <f>"Q"&amp;ROUNDUP(MONTH(B440)/3,0)</f>
        <v>0</v>
      </c>
      <c r="Q440">
        <f>IF(J440&gt;=4,"High",IF(J440&gt;=3,"Medium","Low"))</f>
        <v>0</v>
      </c>
      <c r="R440">
        <f>IF(K440&lt;=5,"On Time","Delayed")</f>
        <v>0</v>
      </c>
    </row>
    <row r="441" spans="1:18">
      <c r="A441">
        <f>RAW_DATA!A441</f>
        <v>0</v>
      </c>
      <c r="B441">
        <f>RAW_DATA!B441</f>
        <v>0</v>
      </c>
      <c r="C441">
        <f>RAW_DATA!C441</f>
        <v>0</v>
      </c>
      <c r="D441">
        <f>RAW_DATA!D441</f>
        <v>0</v>
      </c>
      <c r="E441">
        <f>RAW_DATA!E441</f>
        <v>0</v>
      </c>
      <c r="F441">
        <f>RAW_DATA!F441</f>
        <v>0</v>
      </c>
      <c r="G441">
        <f>RAW_DATA!G441</f>
        <v>0</v>
      </c>
      <c r="H441">
        <f>RAW_DATA!H441</f>
        <v>0</v>
      </c>
      <c r="I441">
        <f>RAW_DATA!I441</f>
        <v>0</v>
      </c>
      <c r="J441">
        <f>RAW_DATA!J441</f>
        <v>0</v>
      </c>
      <c r="K441">
        <f>RAW_DATA!K441</f>
        <v>0</v>
      </c>
      <c r="L441">
        <f>RAW_DATA!L441</f>
        <v>0</v>
      </c>
      <c r="M441">
        <f>H441*I441</f>
        <v>0</v>
      </c>
      <c r="N441">
        <f>ISOWEEKNUM(B441)</f>
        <v>0</v>
      </c>
      <c r="O441">
        <f>TEXT(B441,"mmm")</f>
        <v>0</v>
      </c>
      <c r="P441">
        <f>"Q"&amp;ROUNDUP(MONTH(B441)/3,0)</f>
        <v>0</v>
      </c>
      <c r="Q441">
        <f>IF(J441&gt;=4,"High",IF(J441&gt;=3,"Medium","Low"))</f>
        <v>0</v>
      </c>
      <c r="R441">
        <f>IF(K441&lt;=5,"On Time","Delayed")</f>
        <v>0</v>
      </c>
    </row>
    <row r="442" spans="1:18">
      <c r="A442">
        <f>RAW_DATA!A442</f>
        <v>0</v>
      </c>
      <c r="B442">
        <f>RAW_DATA!B442</f>
        <v>0</v>
      </c>
      <c r="C442">
        <f>RAW_DATA!C442</f>
        <v>0</v>
      </c>
      <c r="D442">
        <f>RAW_DATA!D442</f>
        <v>0</v>
      </c>
      <c r="E442">
        <f>RAW_DATA!E442</f>
        <v>0</v>
      </c>
      <c r="F442">
        <f>RAW_DATA!F442</f>
        <v>0</v>
      </c>
      <c r="G442">
        <f>RAW_DATA!G442</f>
        <v>0</v>
      </c>
      <c r="H442">
        <f>RAW_DATA!H442</f>
        <v>0</v>
      </c>
      <c r="I442">
        <f>RAW_DATA!I442</f>
        <v>0</v>
      </c>
      <c r="J442">
        <f>RAW_DATA!J442</f>
        <v>0</v>
      </c>
      <c r="K442">
        <f>RAW_DATA!K442</f>
        <v>0</v>
      </c>
      <c r="L442">
        <f>RAW_DATA!L442</f>
        <v>0</v>
      </c>
      <c r="M442">
        <f>H442*I442</f>
        <v>0</v>
      </c>
      <c r="N442">
        <f>ISOWEEKNUM(B442)</f>
        <v>0</v>
      </c>
      <c r="O442">
        <f>TEXT(B442,"mmm")</f>
        <v>0</v>
      </c>
      <c r="P442">
        <f>"Q"&amp;ROUNDUP(MONTH(B442)/3,0)</f>
        <v>0</v>
      </c>
      <c r="Q442">
        <f>IF(J442&gt;=4,"High",IF(J442&gt;=3,"Medium","Low"))</f>
        <v>0</v>
      </c>
      <c r="R442">
        <f>IF(K442&lt;=5,"On Time","Delayed")</f>
        <v>0</v>
      </c>
    </row>
    <row r="443" spans="1:18">
      <c r="A443">
        <f>RAW_DATA!A443</f>
        <v>0</v>
      </c>
      <c r="B443">
        <f>RAW_DATA!B443</f>
        <v>0</v>
      </c>
      <c r="C443">
        <f>RAW_DATA!C443</f>
        <v>0</v>
      </c>
      <c r="D443">
        <f>RAW_DATA!D443</f>
        <v>0</v>
      </c>
      <c r="E443">
        <f>RAW_DATA!E443</f>
        <v>0</v>
      </c>
      <c r="F443">
        <f>RAW_DATA!F443</f>
        <v>0</v>
      </c>
      <c r="G443">
        <f>RAW_DATA!G443</f>
        <v>0</v>
      </c>
      <c r="H443">
        <f>RAW_DATA!H443</f>
        <v>0</v>
      </c>
      <c r="I443">
        <f>RAW_DATA!I443</f>
        <v>0</v>
      </c>
      <c r="J443">
        <f>RAW_DATA!J443</f>
        <v>0</v>
      </c>
      <c r="K443">
        <f>RAW_DATA!K443</f>
        <v>0</v>
      </c>
      <c r="L443">
        <f>RAW_DATA!L443</f>
        <v>0</v>
      </c>
      <c r="M443">
        <f>H443*I443</f>
        <v>0</v>
      </c>
      <c r="N443">
        <f>ISOWEEKNUM(B443)</f>
        <v>0</v>
      </c>
      <c r="O443">
        <f>TEXT(B443,"mmm")</f>
        <v>0</v>
      </c>
      <c r="P443">
        <f>"Q"&amp;ROUNDUP(MONTH(B443)/3,0)</f>
        <v>0</v>
      </c>
      <c r="Q443">
        <f>IF(J443&gt;=4,"High",IF(J443&gt;=3,"Medium","Low"))</f>
        <v>0</v>
      </c>
      <c r="R443">
        <f>IF(K443&lt;=5,"On Time","Delayed")</f>
        <v>0</v>
      </c>
    </row>
    <row r="444" spans="1:18">
      <c r="A444">
        <f>RAW_DATA!A444</f>
        <v>0</v>
      </c>
      <c r="B444">
        <f>RAW_DATA!B444</f>
        <v>0</v>
      </c>
      <c r="C444">
        <f>RAW_DATA!C444</f>
        <v>0</v>
      </c>
      <c r="D444">
        <f>RAW_DATA!D444</f>
        <v>0</v>
      </c>
      <c r="E444">
        <f>RAW_DATA!E444</f>
        <v>0</v>
      </c>
      <c r="F444">
        <f>RAW_DATA!F444</f>
        <v>0</v>
      </c>
      <c r="G444">
        <f>RAW_DATA!G444</f>
        <v>0</v>
      </c>
      <c r="H444">
        <f>RAW_DATA!H444</f>
        <v>0</v>
      </c>
      <c r="I444">
        <f>RAW_DATA!I444</f>
        <v>0</v>
      </c>
      <c r="J444">
        <f>RAW_DATA!J444</f>
        <v>0</v>
      </c>
      <c r="K444">
        <f>RAW_DATA!K444</f>
        <v>0</v>
      </c>
      <c r="L444">
        <f>RAW_DATA!L444</f>
        <v>0</v>
      </c>
      <c r="M444">
        <f>H444*I444</f>
        <v>0</v>
      </c>
      <c r="N444">
        <f>ISOWEEKNUM(B444)</f>
        <v>0</v>
      </c>
      <c r="O444">
        <f>TEXT(B444,"mmm")</f>
        <v>0</v>
      </c>
      <c r="P444">
        <f>"Q"&amp;ROUNDUP(MONTH(B444)/3,0)</f>
        <v>0</v>
      </c>
      <c r="Q444">
        <f>IF(J444&gt;=4,"High",IF(J444&gt;=3,"Medium","Low"))</f>
        <v>0</v>
      </c>
      <c r="R444">
        <f>IF(K444&lt;=5,"On Time","Delayed")</f>
        <v>0</v>
      </c>
    </row>
    <row r="445" spans="1:18">
      <c r="A445">
        <f>RAW_DATA!A445</f>
        <v>0</v>
      </c>
      <c r="B445">
        <f>RAW_DATA!B445</f>
        <v>0</v>
      </c>
      <c r="C445">
        <f>RAW_DATA!C445</f>
        <v>0</v>
      </c>
      <c r="D445">
        <f>RAW_DATA!D445</f>
        <v>0</v>
      </c>
      <c r="E445">
        <f>RAW_DATA!E445</f>
        <v>0</v>
      </c>
      <c r="F445">
        <f>RAW_DATA!F445</f>
        <v>0</v>
      </c>
      <c r="G445">
        <f>RAW_DATA!G445</f>
        <v>0</v>
      </c>
      <c r="H445">
        <f>RAW_DATA!H445</f>
        <v>0</v>
      </c>
      <c r="I445">
        <f>RAW_DATA!I445</f>
        <v>0</v>
      </c>
      <c r="J445">
        <f>RAW_DATA!J445</f>
        <v>0</v>
      </c>
      <c r="K445">
        <f>RAW_DATA!K445</f>
        <v>0</v>
      </c>
      <c r="L445">
        <f>RAW_DATA!L445</f>
        <v>0</v>
      </c>
      <c r="M445">
        <f>H445*I445</f>
        <v>0</v>
      </c>
      <c r="N445">
        <f>ISOWEEKNUM(B445)</f>
        <v>0</v>
      </c>
      <c r="O445">
        <f>TEXT(B445,"mmm")</f>
        <v>0</v>
      </c>
      <c r="P445">
        <f>"Q"&amp;ROUNDUP(MONTH(B445)/3,0)</f>
        <v>0</v>
      </c>
      <c r="Q445">
        <f>IF(J445&gt;=4,"High",IF(J445&gt;=3,"Medium","Low"))</f>
        <v>0</v>
      </c>
      <c r="R445">
        <f>IF(K445&lt;=5,"On Time","Delayed")</f>
        <v>0</v>
      </c>
    </row>
    <row r="446" spans="1:18">
      <c r="A446">
        <f>RAW_DATA!A446</f>
        <v>0</v>
      </c>
      <c r="B446">
        <f>RAW_DATA!B446</f>
        <v>0</v>
      </c>
      <c r="C446">
        <f>RAW_DATA!C446</f>
        <v>0</v>
      </c>
      <c r="D446">
        <f>RAW_DATA!D446</f>
        <v>0</v>
      </c>
      <c r="E446">
        <f>RAW_DATA!E446</f>
        <v>0</v>
      </c>
      <c r="F446">
        <f>RAW_DATA!F446</f>
        <v>0</v>
      </c>
      <c r="G446">
        <f>RAW_DATA!G446</f>
        <v>0</v>
      </c>
      <c r="H446">
        <f>RAW_DATA!H446</f>
        <v>0</v>
      </c>
      <c r="I446">
        <f>RAW_DATA!I446</f>
        <v>0</v>
      </c>
      <c r="J446">
        <f>RAW_DATA!J446</f>
        <v>0</v>
      </c>
      <c r="K446">
        <f>RAW_DATA!K446</f>
        <v>0</v>
      </c>
      <c r="L446">
        <f>RAW_DATA!L446</f>
        <v>0</v>
      </c>
      <c r="M446">
        <f>H446*I446</f>
        <v>0</v>
      </c>
      <c r="N446">
        <f>ISOWEEKNUM(B446)</f>
        <v>0</v>
      </c>
      <c r="O446">
        <f>TEXT(B446,"mmm")</f>
        <v>0</v>
      </c>
      <c r="P446">
        <f>"Q"&amp;ROUNDUP(MONTH(B446)/3,0)</f>
        <v>0</v>
      </c>
      <c r="Q446">
        <f>IF(J446&gt;=4,"High",IF(J446&gt;=3,"Medium","Low"))</f>
        <v>0</v>
      </c>
      <c r="R446">
        <f>IF(K446&lt;=5,"On Time","Delayed")</f>
        <v>0</v>
      </c>
    </row>
    <row r="447" spans="1:18">
      <c r="A447">
        <f>RAW_DATA!A447</f>
        <v>0</v>
      </c>
      <c r="B447">
        <f>RAW_DATA!B447</f>
        <v>0</v>
      </c>
      <c r="C447">
        <f>RAW_DATA!C447</f>
        <v>0</v>
      </c>
      <c r="D447">
        <f>RAW_DATA!D447</f>
        <v>0</v>
      </c>
      <c r="E447">
        <f>RAW_DATA!E447</f>
        <v>0</v>
      </c>
      <c r="F447">
        <f>RAW_DATA!F447</f>
        <v>0</v>
      </c>
      <c r="G447">
        <f>RAW_DATA!G447</f>
        <v>0</v>
      </c>
      <c r="H447">
        <f>RAW_DATA!H447</f>
        <v>0</v>
      </c>
      <c r="I447">
        <f>RAW_DATA!I447</f>
        <v>0</v>
      </c>
      <c r="J447">
        <f>RAW_DATA!J447</f>
        <v>0</v>
      </c>
      <c r="K447">
        <f>RAW_DATA!K447</f>
        <v>0</v>
      </c>
      <c r="L447">
        <f>RAW_DATA!L447</f>
        <v>0</v>
      </c>
      <c r="M447">
        <f>H447*I447</f>
        <v>0</v>
      </c>
      <c r="N447">
        <f>ISOWEEKNUM(B447)</f>
        <v>0</v>
      </c>
      <c r="O447">
        <f>TEXT(B447,"mmm")</f>
        <v>0</v>
      </c>
      <c r="P447">
        <f>"Q"&amp;ROUNDUP(MONTH(B447)/3,0)</f>
        <v>0</v>
      </c>
      <c r="Q447">
        <f>IF(J447&gt;=4,"High",IF(J447&gt;=3,"Medium","Low"))</f>
        <v>0</v>
      </c>
      <c r="R447">
        <f>IF(K447&lt;=5,"On Time","Delayed")</f>
        <v>0</v>
      </c>
    </row>
    <row r="448" spans="1:18">
      <c r="A448">
        <f>RAW_DATA!A448</f>
        <v>0</v>
      </c>
      <c r="B448">
        <f>RAW_DATA!B448</f>
        <v>0</v>
      </c>
      <c r="C448">
        <f>RAW_DATA!C448</f>
        <v>0</v>
      </c>
      <c r="D448">
        <f>RAW_DATA!D448</f>
        <v>0</v>
      </c>
      <c r="E448">
        <f>RAW_DATA!E448</f>
        <v>0</v>
      </c>
      <c r="F448">
        <f>RAW_DATA!F448</f>
        <v>0</v>
      </c>
      <c r="G448">
        <f>RAW_DATA!G448</f>
        <v>0</v>
      </c>
      <c r="H448">
        <f>RAW_DATA!H448</f>
        <v>0</v>
      </c>
      <c r="I448">
        <f>RAW_DATA!I448</f>
        <v>0</v>
      </c>
      <c r="J448">
        <f>RAW_DATA!J448</f>
        <v>0</v>
      </c>
      <c r="K448">
        <f>RAW_DATA!K448</f>
        <v>0</v>
      </c>
      <c r="L448">
        <f>RAW_DATA!L448</f>
        <v>0</v>
      </c>
      <c r="M448">
        <f>H448*I448</f>
        <v>0</v>
      </c>
      <c r="N448">
        <f>ISOWEEKNUM(B448)</f>
        <v>0</v>
      </c>
      <c r="O448">
        <f>TEXT(B448,"mmm")</f>
        <v>0</v>
      </c>
      <c r="P448">
        <f>"Q"&amp;ROUNDUP(MONTH(B448)/3,0)</f>
        <v>0</v>
      </c>
      <c r="Q448">
        <f>IF(J448&gt;=4,"High",IF(J448&gt;=3,"Medium","Low"))</f>
        <v>0</v>
      </c>
      <c r="R448">
        <f>IF(K448&lt;=5,"On Time","Delayed")</f>
        <v>0</v>
      </c>
    </row>
    <row r="449" spans="1:18">
      <c r="A449">
        <f>RAW_DATA!A449</f>
        <v>0</v>
      </c>
      <c r="B449">
        <f>RAW_DATA!B449</f>
        <v>0</v>
      </c>
      <c r="C449">
        <f>RAW_DATA!C449</f>
        <v>0</v>
      </c>
      <c r="D449">
        <f>RAW_DATA!D449</f>
        <v>0</v>
      </c>
      <c r="E449">
        <f>RAW_DATA!E449</f>
        <v>0</v>
      </c>
      <c r="F449">
        <f>RAW_DATA!F449</f>
        <v>0</v>
      </c>
      <c r="G449">
        <f>RAW_DATA!G449</f>
        <v>0</v>
      </c>
      <c r="H449">
        <f>RAW_DATA!H449</f>
        <v>0</v>
      </c>
      <c r="I449">
        <f>RAW_DATA!I449</f>
        <v>0</v>
      </c>
      <c r="J449">
        <f>RAW_DATA!J449</f>
        <v>0</v>
      </c>
      <c r="K449">
        <f>RAW_DATA!K449</f>
        <v>0</v>
      </c>
      <c r="L449">
        <f>RAW_DATA!L449</f>
        <v>0</v>
      </c>
      <c r="M449">
        <f>H449*I449</f>
        <v>0</v>
      </c>
      <c r="N449">
        <f>ISOWEEKNUM(B449)</f>
        <v>0</v>
      </c>
      <c r="O449">
        <f>TEXT(B449,"mmm")</f>
        <v>0</v>
      </c>
      <c r="P449">
        <f>"Q"&amp;ROUNDUP(MONTH(B449)/3,0)</f>
        <v>0</v>
      </c>
      <c r="Q449">
        <f>IF(J449&gt;=4,"High",IF(J449&gt;=3,"Medium","Low"))</f>
        <v>0</v>
      </c>
      <c r="R449">
        <f>IF(K449&lt;=5,"On Time","Delayed")</f>
        <v>0</v>
      </c>
    </row>
    <row r="450" spans="1:18">
      <c r="A450">
        <f>RAW_DATA!A450</f>
        <v>0</v>
      </c>
      <c r="B450">
        <f>RAW_DATA!B450</f>
        <v>0</v>
      </c>
      <c r="C450">
        <f>RAW_DATA!C450</f>
        <v>0</v>
      </c>
      <c r="D450">
        <f>RAW_DATA!D450</f>
        <v>0</v>
      </c>
      <c r="E450">
        <f>RAW_DATA!E450</f>
        <v>0</v>
      </c>
      <c r="F450">
        <f>RAW_DATA!F450</f>
        <v>0</v>
      </c>
      <c r="G450">
        <f>RAW_DATA!G450</f>
        <v>0</v>
      </c>
      <c r="H450">
        <f>RAW_DATA!H450</f>
        <v>0</v>
      </c>
      <c r="I450">
        <f>RAW_DATA!I450</f>
        <v>0</v>
      </c>
      <c r="J450">
        <f>RAW_DATA!J450</f>
        <v>0</v>
      </c>
      <c r="K450">
        <f>RAW_DATA!K450</f>
        <v>0</v>
      </c>
      <c r="L450">
        <f>RAW_DATA!L450</f>
        <v>0</v>
      </c>
      <c r="M450">
        <f>H450*I450</f>
        <v>0</v>
      </c>
      <c r="N450">
        <f>ISOWEEKNUM(B450)</f>
        <v>0</v>
      </c>
      <c r="O450">
        <f>TEXT(B450,"mmm")</f>
        <v>0</v>
      </c>
      <c r="P450">
        <f>"Q"&amp;ROUNDUP(MONTH(B450)/3,0)</f>
        <v>0</v>
      </c>
      <c r="Q450">
        <f>IF(J450&gt;=4,"High",IF(J450&gt;=3,"Medium","Low"))</f>
        <v>0</v>
      </c>
      <c r="R450">
        <f>IF(K450&lt;=5,"On Time","Delayed")</f>
        <v>0</v>
      </c>
    </row>
    <row r="451" spans="1:18">
      <c r="A451">
        <f>RAW_DATA!A451</f>
        <v>0</v>
      </c>
      <c r="B451">
        <f>RAW_DATA!B451</f>
        <v>0</v>
      </c>
      <c r="C451">
        <f>RAW_DATA!C451</f>
        <v>0</v>
      </c>
      <c r="D451">
        <f>RAW_DATA!D451</f>
        <v>0</v>
      </c>
      <c r="E451">
        <f>RAW_DATA!E451</f>
        <v>0</v>
      </c>
      <c r="F451">
        <f>RAW_DATA!F451</f>
        <v>0</v>
      </c>
      <c r="G451">
        <f>RAW_DATA!G451</f>
        <v>0</v>
      </c>
      <c r="H451">
        <f>RAW_DATA!H451</f>
        <v>0</v>
      </c>
      <c r="I451">
        <f>RAW_DATA!I451</f>
        <v>0</v>
      </c>
      <c r="J451">
        <f>RAW_DATA!J451</f>
        <v>0</v>
      </c>
      <c r="K451">
        <f>RAW_DATA!K451</f>
        <v>0</v>
      </c>
      <c r="L451">
        <f>RAW_DATA!L451</f>
        <v>0</v>
      </c>
      <c r="M451">
        <f>H451*I451</f>
        <v>0</v>
      </c>
      <c r="N451">
        <f>ISOWEEKNUM(B451)</f>
        <v>0</v>
      </c>
      <c r="O451">
        <f>TEXT(B451,"mmm")</f>
        <v>0</v>
      </c>
      <c r="P451">
        <f>"Q"&amp;ROUNDUP(MONTH(B451)/3,0)</f>
        <v>0</v>
      </c>
      <c r="Q451">
        <f>IF(J451&gt;=4,"High",IF(J451&gt;=3,"Medium","Low"))</f>
        <v>0</v>
      </c>
      <c r="R451">
        <f>IF(K451&lt;=5,"On Time","Delayed")</f>
        <v>0</v>
      </c>
    </row>
    <row r="452" spans="1:18">
      <c r="A452">
        <f>RAW_DATA!A452</f>
        <v>0</v>
      </c>
      <c r="B452">
        <f>RAW_DATA!B452</f>
        <v>0</v>
      </c>
      <c r="C452">
        <f>RAW_DATA!C452</f>
        <v>0</v>
      </c>
      <c r="D452">
        <f>RAW_DATA!D452</f>
        <v>0</v>
      </c>
      <c r="E452">
        <f>RAW_DATA!E452</f>
        <v>0</v>
      </c>
      <c r="F452">
        <f>RAW_DATA!F452</f>
        <v>0</v>
      </c>
      <c r="G452">
        <f>RAW_DATA!G452</f>
        <v>0</v>
      </c>
      <c r="H452">
        <f>RAW_DATA!H452</f>
        <v>0</v>
      </c>
      <c r="I452">
        <f>RAW_DATA!I452</f>
        <v>0</v>
      </c>
      <c r="J452">
        <f>RAW_DATA!J452</f>
        <v>0</v>
      </c>
      <c r="K452">
        <f>RAW_DATA!K452</f>
        <v>0</v>
      </c>
      <c r="L452">
        <f>RAW_DATA!L452</f>
        <v>0</v>
      </c>
      <c r="M452">
        <f>H452*I452</f>
        <v>0</v>
      </c>
      <c r="N452">
        <f>ISOWEEKNUM(B452)</f>
        <v>0</v>
      </c>
      <c r="O452">
        <f>TEXT(B452,"mmm")</f>
        <v>0</v>
      </c>
      <c r="P452">
        <f>"Q"&amp;ROUNDUP(MONTH(B452)/3,0)</f>
        <v>0</v>
      </c>
      <c r="Q452">
        <f>IF(J452&gt;=4,"High",IF(J452&gt;=3,"Medium","Low"))</f>
        <v>0</v>
      </c>
      <c r="R452">
        <f>IF(K452&lt;=5,"On Time","Delayed")</f>
        <v>0</v>
      </c>
    </row>
    <row r="453" spans="1:18">
      <c r="A453">
        <f>RAW_DATA!A453</f>
        <v>0</v>
      </c>
      <c r="B453">
        <f>RAW_DATA!B453</f>
        <v>0</v>
      </c>
      <c r="C453">
        <f>RAW_DATA!C453</f>
        <v>0</v>
      </c>
      <c r="D453">
        <f>RAW_DATA!D453</f>
        <v>0</v>
      </c>
      <c r="E453">
        <f>RAW_DATA!E453</f>
        <v>0</v>
      </c>
      <c r="F453">
        <f>RAW_DATA!F453</f>
        <v>0</v>
      </c>
      <c r="G453">
        <f>RAW_DATA!G453</f>
        <v>0</v>
      </c>
      <c r="H453">
        <f>RAW_DATA!H453</f>
        <v>0</v>
      </c>
      <c r="I453">
        <f>RAW_DATA!I453</f>
        <v>0</v>
      </c>
      <c r="J453">
        <f>RAW_DATA!J453</f>
        <v>0</v>
      </c>
      <c r="K453">
        <f>RAW_DATA!K453</f>
        <v>0</v>
      </c>
      <c r="L453">
        <f>RAW_DATA!L453</f>
        <v>0</v>
      </c>
      <c r="M453">
        <f>H453*I453</f>
        <v>0</v>
      </c>
      <c r="N453">
        <f>ISOWEEKNUM(B453)</f>
        <v>0</v>
      </c>
      <c r="O453">
        <f>TEXT(B453,"mmm")</f>
        <v>0</v>
      </c>
      <c r="P453">
        <f>"Q"&amp;ROUNDUP(MONTH(B453)/3,0)</f>
        <v>0</v>
      </c>
      <c r="Q453">
        <f>IF(J453&gt;=4,"High",IF(J453&gt;=3,"Medium","Low"))</f>
        <v>0</v>
      </c>
      <c r="R453">
        <f>IF(K453&lt;=5,"On Time","Delayed")</f>
        <v>0</v>
      </c>
    </row>
    <row r="454" spans="1:18">
      <c r="A454">
        <f>RAW_DATA!A454</f>
        <v>0</v>
      </c>
      <c r="B454">
        <f>RAW_DATA!B454</f>
        <v>0</v>
      </c>
      <c r="C454">
        <f>RAW_DATA!C454</f>
        <v>0</v>
      </c>
      <c r="D454">
        <f>RAW_DATA!D454</f>
        <v>0</v>
      </c>
      <c r="E454">
        <f>RAW_DATA!E454</f>
        <v>0</v>
      </c>
      <c r="F454">
        <f>RAW_DATA!F454</f>
        <v>0</v>
      </c>
      <c r="G454">
        <f>RAW_DATA!G454</f>
        <v>0</v>
      </c>
      <c r="H454">
        <f>RAW_DATA!H454</f>
        <v>0</v>
      </c>
      <c r="I454">
        <f>RAW_DATA!I454</f>
        <v>0</v>
      </c>
      <c r="J454">
        <f>RAW_DATA!J454</f>
        <v>0</v>
      </c>
      <c r="K454">
        <f>RAW_DATA!K454</f>
        <v>0</v>
      </c>
      <c r="L454">
        <f>RAW_DATA!L454</f>
        <v>0</v>
      </c>
      <c r="M454">
        <f>H454*I454</f>
        <v>0</v>
      </c>
      <c r="N454">
        <f>ISOWEEKNUM(B454)</f>
        <v>0</v>
      </c>
      <c r="O454">
        <f>TEXT(B454,"mmm")</f>
        <v>0</v>
      </c>
      <c r="P454">
        <f>"Q"&amp;ROUNDUP(MONTH(B454)/3,0)</f>
        <v>0</v>
      </c>
      <c r="Q454">
        <f>IF(J454&gt;=4,"High",IF(J454&gt;=3,"Medium","Low"))</f>
        <v>0</v>
      </c>
      <c r="R454">
        <f>IF(K454&lt;=5,"On Time","Delayed")</f>
        <v>0</v>
      </c>
    </row>
    <row r="455" spans="1:18">
      <c r="A455">
        <f>RAW_DATA!A455</f>
        <v>0</v>
      </c>
      <c r="B455">
        <f>RAW_DATA!B455</f>
        <v>0</v>
      </c>
      <c r="C455">
        <f>RAW_DATA!C455</f>
        <v>0</v>
      </c>
      <c r="D455">
        <f>RAW_DATA!D455</f>
        <v>0</v>
      </c>
      <c r="E455">
        <f>RAW_DATA!E455</f>
        <v>0</v>
      </c>
      <c r="F455">
        <f>RAW_DATA!F455</f>
        <v>0</v>
      </c>
      <c r="G455">
        <f>RAW_DATA!G455</f>
        <v>0</v>
      </c>
      <c r="H455">
        <f>RAW_DATA!H455</f>
        <v>0</v>
      </c>
      <c r="I455">
        <f>RAW_DATA!I455</f>
        <v>0</v>
      </c>
      <c r="J455">
        <f>RAW_DATA!J455</f>
        <v>0</v>
      </c>
      <c r="K455">
        <f>RAW_DATA!K455</f>
        <v>0</v>
      </c>
      <c r="L455">
        <f>RAW_DATA!L455</f>
        <v>0</v>
      </c>
      <c r="M455">
        <f>H455*I455</f>
        <v>0</v>
      </c>
      <c r="N455">
        <f>ISOWEEKNUM(B455)</f>
        <v>0</v>
      </c>
      <c r="O455">
        <f>TEXT(B455,"mmm")</f>
        <v>0</v>
      </c>
      <c r="P455">
        <f>"Q"&amp;ROUNDUP(MONTH(B455)/3,0)</f>
        <v>0</v>
      </c>
      <c r="Q455">
        <f>IF(J455&gt;=4,"High",IF(J455&gt;=3,"Medium","Low"))</f>
        <v>0</v>
      </c>
      <c r="R455">
        <f>IF(K455&lt;=5,"On Time","Delayed")</f>
        <v>0</v>
      </c>
    </row>
    <row r="456" spans="1:18">
      <c r="A456">
        <f>RAW_DATA!A456</f>
        <v>0</v>
      </c>
      <c r="B456">
        <f>RAW_DATA!B456</f>
        <v>0</v>
      </c>
      <c r="C456">
        <f>RAW_DATA!C456</f>
        <v>0</v>
      </c>
      <c r="D456">
        <f>RAW_DATA!D456</f>
        <v>0</v>
      </c>
      <c r="E456">
        <f>RAW_DATA!E456</f>
        <v>0</v>
      </c>
      <c r="F456">
        <f>RAW_DATA!F456</f>
        <v>0</v>
      </c>
      <c r="G456">
        <f>RAW_DATA!G456</f>
        <v>0</v>
      </c>
      <c r="H456">
        <f>RAW_DATA!H456</f>
        <v>0</v>
      </c>
      <c r="I456">
        <f>RAW_DATA!I456</f>
        <v>0</v>
      </c>
      <c r="J456">
        <f>RAW_DATA!J456</f>
        <v>0</v>
      </c>
      <c r="K456">
        <f>RAW_DATA!K456</f>
        <v>0</v>
      </c>
      <c r="L456">
        <f>RAW_DATA!L456</f>
        <v>0</v>
      </c>
      <c r="M456">
        <f>H456*I456</f>
        <v>0</v>
      </c>
      <c r="N456">
        <f>ISOWEEKNUM(B456)</f>
        <v>0</v>
      </c>
      <c r="O456">
        <f>TEXT(B456,"mmm")</f>
        <v>0</v>
      </c>
      <c r="P456">
        <f>"Q"&amp;ROUNDUP(MONTH(B456)/3,0)</f>
        <v>0</v>
      </c>
      <c r="Q456">
        <f>IF(J456&gt;=4,"High",IF(J456&gt;=3,"Medium","Low"))</f>
        <v>0</v>
      </c>
      <c r="R456">
        <f>IF(K456&lt;=5,"On Time","Delayed")</f>
        <v>0</v>
      </c>
    </row>
    <row r="457" spans="1:18">
      <c r="A457">
        <f>RAW_DATA!A457</f>
        <v>0</v>
      </c>
      <c r="B457">
        <f>RAW_DATA!B457</f>
        <v>0</v>
      </c>
      <c r="C457">
        <f>RAW_DATA!C457</f>
        <v>0</v>
      </c>
      <c r="D457">
        <f>RAW_DATA!D457</f>
        <v>0</v>
      </c>
      <c r="E457">
        <f>RAW_DATA!E457</f>
        <v>0</v>
      </c>
      <c r="F457">
        <f>RAW_DATA!F457</f>
        <v>0</v>
      </c>
      <c r="G457">
        <f>RAW_DATA!G457</f>
        <v>0</v>
      </c>
      <c r="H457">
        <f>RAW_DATA!H457</f>
        <v>0</v>
      </c>
      <c r="I457">
        <f>RAW_DATA!I457</f>
        <v>0</v>
      </c>
      <c r="J457">
        <f>RAW_DATA!J457</f>
        <v>0</v>
      </c>
      <c r="K457">
        <f>RAW_DATA!K457</f>
        <v>0</v>
      </c>
      <c r="L457">
        <f>RAW_DATA!L457</f>
        <v>0</v>
      </c>
      <c r="M457">
        <f>H457*I457</f>
        <v>0</v>
      </c>
      <c r="N457">
        <f>ISOWEEKNUM(B457)</f>
        <v>0</v>
      </c>
      <c r="O457">
        <f>TEXT(B457,"mmm")</f>
        <v>0</v>
      </c>
      <c r="P457">
        <f>"Q"&amp;ROUNDUP(MONTH(B457)/3,0)</f>
        <v>0</v>
      </c>
      <c r="Q457">
        <f>IF(J457&gt;=4,"High",IF(J457&gt;=3,"Medium","Low"))</f>
        <v>0</v>
      </c>
      <c r="R457">
        <f>IF(K457&lt;=5,"On Time","Delayed")</f>
        <v>0</v>
      </c>
    </row>
    <row r="458" spans="1:18">
      <c r="A458">
        <f>RAW_DATA!A458</f>
        <v>0</v>
      </c>
      <c r="B458">
        <f>RAW_DATA!B458</f>
        <v>0</v>
      </c>
      <c r="C458">
        <f>RAW_DATA!C458</f>
        <v>0</v>
      </c>
      <c r="D458">
        <f>RAW_DATA!D458</f>
        <v>0</v>
      </c>
      <c r="E458">
        <f>RAW_DATA!E458</f>
        <v>0</v>
      </c>
      <c r="F458">
        <f>RAW_DATA!F458</f>
        <v>0</v>
      </c>
      <c r="G458">
        <f>RAW_DATA!G458</f>
        <v>0</v>
      </c>
      <c r="H458">
        <f>RAW_DATA!H458</f>
        <v>0</v>
      </c>
      <c r="I458">
        <f>RAW_DATA!I458</f>
        <v>0</v>
      </c>
      <c r="J458">
        <f>RAW_DATA!J458</f>
        <v>0</v>
      </c>
      <c r="K458">
        <f>RAW_DATA!K458</f>
        <v>0</v>
      </c>
      <c r="L458">
        <f>RAW_DATA!L458</f>
        <v>0</v>
      </c>
      <c r="M458">
        <f>H458*I458</f>
        <v>0</v>
      </c>
      <c r="N458">
        <f>ISOWEEKNUM(B458)</f>
        <v>0</v>
      </c>
      <c r="O458">
        <f>TEXT(B458,"mmm")</f>
        <v>0</v>
      </c>
      <c r="P458">
        <f>"Q"&amp;ROUNDUP(MONTH(B458)/3,0)</f>
        <v>0</v>
      </c>
      <c r="Q458">
        <f>IF(J458&gt;=4,"High",IF(J458&gt;=3,"Medium","Low"))</f>
        <v>0</v>
      </c>
      <c r="R458">
        <f>IF(K458&lt;=5,"On Time","Delayed")</f>
        <v>0</v>
      </c>
    </row>
    <row r="459" spans="1:18">
      <c r="A459">
        <f>RAW_DATA!A459</f>
        <v>0</v>
      </c>
      <c r="B459">
        <f>RAW_DATA!B459</f>
        <v>0</v>
      </c>
      <c r="C459">
        <f>RAW_DATA!C459</f>
        <v>0</v>
      </c>
      <c r="D459">
        <f>RAW_DATA!D459</f>
        <v>0</v>
      </c>
      <c r="E459">
        <f>RAW_DATA!E459</f>
        <v>0</v>
      </c>
      <c r="F459">
        <f>RAW_DATA!F459</f>
        <v>0</v>
      </c>
      <c r="G459">
        <f>RAW_DATA!G459</f>
        <v>0</v>
      </c>
      <c r="H459">
        <f>RAW_DATA!H459</f>
        <v>0</v>
      </c>
      <c r="I459">
        <f>RAW_DATA!I459</f>
        <v>0</v>
      </c>
      <c r="J459">
        <f>RAW_DATA!J459</f>
        <v>0</v>
      </c>
      <c r="K459">
        <f>RAW_DATA!K459</f>
        <v>0</v>
      </c>
      <c r="L459">
        <f>RAW_DATA!L459</f>
        <v>0</v>
      </c>
      <c r="M459">
        <f>H459*I459</f>
        <v>0</v>
      </c>
      <c r="N459">
        <f>ISOWEEKNUM(B459)</f>
        <v>0</v>
      </c>
      <c r="O459">
        <f>TEXT(B459,"mmm")</f>
        <v>0</v>
      </c>
      <c r="P459">
        <f>"Q"&amp;ROUNDUP(MONTH(B459)/3,0)</f>
        <v>0</v>
      </c>
      <c r="Q459">
        <f>IF(J459&gt;=4,"High",IF(J459&gt;=3,"Medium","Low"))</f>
        <v>0</v>
      </c>
      <c r="R459">
        <f>IF(K459&lt;=5,"On Time","Delayed")</f>
        <v>0</v>
      </c>
    </row>
    <row r="460" spans="1:18">
      <c r="A460">
        <f>RAW_DATA!A460</f>
        <v>0</v>
      </c>
      <c r="B460">
        <f>RAW_DATA!B460</f>
        <v>0</v>
      </c>
      <c r="C460">
        <f>RAW_DATA!C460</f>
        <v>0</v>
      </c>
      <c r="D460">
        <f>RAW_DATA!D460</f>
        <v>0</v>
      </c>
      <c r="E460">
        <f>RAW_DATA!E460</f>
        <v>0</v>
      </c>
      <c r="F460">
        <f>RAW_DATA!F460</f>
        <v>0</v>
      </c>
      <c r="G460">
        <f>RAW_DATA!G460</f>
        <v>0</v>
      </c>
      <c r="H460">
        <f>RAW_DATA!H460</f>
        <v>0</v>
      </c>
      <c r="I460">
        <f>RAW_DATA!I460</f>
        <v>0</v>
      </c>
      <c r="J460">
        <f>RAW_DATA!J460</f>
        <v>0</v>
      </c>
      <c r="K460">
        <f>RAW_DATA!K460</f>
        <v>0</v>
      </c>
      <c r="L460">
        <f>RAW_DATA!L460</f>
        <v>0</v>
      </c>
      <c r="M460">
        <f>H460*I460</f>
        <v>0</v>
      </c>
      <c r="N460">
        <f>ISOWEEKNUM(B460)</f>
        <v>0</v>
      </c>
      <c r="O460">
        <f>TEXT(B460,"mmm")</f>
        <v>0</v>
      </c>
      <c r="P460">
        <f>"Q"&amp;ROUNDUP(MONTH(B460)/3,0)</f>
        <v>0</v>
      </c>
      <c r="Q460">
        <f>IF(J460&gt;=4,"High",IF(J460&gt;=3,"Medium","Low"))</f>
        <v>0</v>
      </c>
      <c r="R460">
        <f>IF(K460&lt;=5,"On Time","Delayed")</f>
        <v>0</v>
      </c>
    </row>
    <row r="461" spans="1:18">
      <c r="A461">
        <f>RAW_DATA!A461</f>
        <v>0</v>
      </c>
      <c r="B461">
        <f>RAW_DATA!B461</f>
        <v>0</v>
      </c>
      <c r="C461">
        <f>RAW_DATA!C461</f>
        <v>0</v>
      </c>
      <c r="D461">
        <f>RAW_DATA!D461</f>
        <v>0</v>
      </c>
      <c r="E461">
        <f>RAW_DATA!E461</f>
        <v>0</v>
      </c>
      <c r="F461">
        <f>RAW_DATA!F461</f>
        <v>0</v>
      </c>
      <c r="G461">
        <f>RAW_DATA!G461</f>
        <v>0</v>
      </c>
      <c r="H461">
        <f>RAW_DATA!H461</f>
        <v>0</v>
      </c>
      <c r="I461">
        <f>RAW_DATA!I461</f>
        <v>0</v>
      </c>
      <c r="J461">
        <f>RAW_DATA!J461</f>
        <v>0</v>
      </c>
      <c r="K461">
        <f>RAW_DATA!K461</f>
        <v>0</v>
      </c>
      <c r="L461">
        <f>RAW_DATA!L461</f>
        <v>0</v>
      </c>
      <c r="M461">
        <f>H461*I461</f>
        <v>0</v>
      </c>
      <c r="N461">
        <f>ISOWEEKNUM(B461)</f>
        <v>0</v>
      </c>
      <c r="O461">
        <f>TEXT(B461,"mmm")</f>
        <v>0</v>
      </c>
      <c r="P461">
        <f>"Q"&amp;ROUNDUP(MONTH(B461)/3,0)</f>
        <v>0</v>
      </c>
      <c r="Q461">
        <f>IF(J461&gt;=4,"High",IF(J461&gt;=3,"Medium","Low"))</f>
        <v>0</v>
      </c>
      <c r="R461">
        <f>IF(K461&lt;=5,"On Time","Delayed")</f>
        <v>0</v>
      </c>
    </row>
    <row r="462" spans="1:18">
      <c r="A462">
        <f>RAW_DATA!A462</f>
        <v>0</v>
      </c>
      <c r="B462">
        <f>RAW_DATA!B462</f>
        <v>0</v>
      </c>
      <c r="C462">
        <f>RAW_DATA!C462</f>
        <v>0</v>
      </c>
      <c r="D462">
        <f>RAW_DATA!D462</f>
        <v>0</v>
      </c>
      <c r="E462">
        <f>RAW_DATA!E462</f>
        <v>0</v>
      </c>
      <c r="F462">
        <f>RAW_DATA!F462</f>
        <v>0</v>
      </c>
      <c r="G462">
        <f>RAW_DATA!G462</f>
        <v>0</v>
      </c>
      <c r="H462">
        <f>RAW_DATA!H462</f>
        <v>0</v>
      </c>
      <c r="I462">
        <f>RAW_DATA!I462</f>
        <v>0</v>
      </c>
      <c r="J462">
        <f>RAW_DATA!J462</f>
        <v>0</v>
      </c>
      <c r="K462">
        <f>RAW_DATA!K462</f>
        <v>0</v>
      </c>
      <c r="L462">
        <f>RAW_DATA!L462</f>
        <v>0</v>
      </c>
      <c r="M462">
        <f>H462*I462</f>
        <v>0</v>
      </c>
      <c r="N462">
        <f>ISOWEEKNUM(B462)</f>
        <v>0</v>
      </c>
      <c r="O462">
        <f>TEXT(B462,"mmm")</f>
        <v>0</v>
      </c>
      <c r="P462">
        <f>"Q"&amp;ROUNDUP(MONTH(B462)/3,0)</f>
        <v>0</v>
      </c>
      <c r="Q462">
        <f>IF(J462&gt;=4,"High",IF(J462&gt;=3,"Medium","Low"))</f>
        <v>0</v>
      </c>
      <c r="R462">
        <f>IF(K462&lt;=5,"On Time","Delayed")</f>
        <v>0</v>
      </c>
    </row>
    <row r="463" spans="1:18">
      <c r="A463">
        <f>RAW_DATA!A463</f>
        <v>0</v>
      </c>
      <c r="B463">
        <f>RAW_DATA!B463</f>
        <v>0</v>
      </c>
      <c r="C463">
        <f>RAW_DATA!C463</f>
        <v>0</v>
      </c>
      <c r="D463">
        <f>RAW_DATA!D463</f>
        <v>0</v>
      </c>
      <c r="E463">
        <f>RAW_DATA!E463</f>
        <v>0</v>
      </c>
      <c r="F463">
        <f>RAW_DATA!F463</f>
        <v>0</v>
      </c>
      <c r="G463">
        <f>RAW_DATA!G463</f>
        <v>0</v>
      </c>
      <c r="H463">
        <f>RAW_DATA!H463</f>
        <v>0</v>
      </c>
      <c r="I463">
        <f>RAW_DATA!I463</f>
        <v>0</v>
      </c>
      <c r="J463">
        <f>RAW_DATA!J463</f>
        <v>0</v>
      </c>
      <c r="K463">
        <f>RAW_DATA!K463</f>
        <v>0</v>
      </c>
      <c r="L463">
        <f>RAW_DATA!L463</f>
        <v>0</v>
      </c>
      <c r="M463">
        <f>H463*I463</f>
        <v>0</v>
      </c>
      <c r="N463">
        <f>ISOWEEKNUM(B463)</f>
        <v>0</v>
      </c>
      <c r="O463">
        <f>TEXT(B463,"mmm")</f>
        <v>0</v>
      </c>
      <c r="P463">
        <f>"Q"&amp;ROUNDUP(MONTH(B463)/3,0)</f>
        <v>0</v>
      </c>
      <c r="Q463">
        <f>IF(J463&gt;=4,"High",IF(J463&gt;=3,"Medium","Low"))</f>
        <v>0</v>
      </c>
      <c r="R463">
        <f>IF(K463&lt;=5,"On Time","Delayed")</f>
        <v>0</v>
      </c>
    </row>
    <row r="464" spans="1:18">
      <c r="A464">
        <f>RAW_DATA!A464</f>
        <v>0</v>
      </c>
      <c r="B464">
        <f>RAW_DATA!B464</f>
        <v>0</v>
      </c>
      <c r="C464">
        <f>RAW_DATA!C464</f>
        <v>0</v>
      </c>
      <c r="D464">
        <f>RAW_DATA!D464</f>
        <v>0</v>
      </c>
      <c r="E464">
        <f>RAW_DATA!E464</f>
        <v>0</v>
      </c>
      <c r="F464">
        <f>RAW_DATA!F464</f>
        <v>0</v>
      </c>
      <c r="G464">
        <f>RAW_DATA!G464</f>
        <v>0</v>
      </c>
      <c r="H464">
        <f>RAW_DATA!H464</f>
        <v>0</v>
      </c>
      <c r="I464">
        <f>RAW_DATA!I464</f>
        <v>0</v>
      </c>
      <c r="J464">
        <f>RAW_DATA!J464</f>
        <v>0</v>
      </c>
      <c r="K464">
        <f>RAW_DATA!K464</f>
        <v>0</v>
      </c>
      <c r="L464">
        <f>RAW_DATA!L464</f>
        <v>0</v>
      </c>
      <c r="M464">
        <f>H464*I464</f>
        <v>0</v>
      </c>
      <c r="N464">
        <f>ISOWEEKNUM(B464)</f>
        <v>0</v>
      </c>
      <c r="O464">
        <f>TEXT(B464,"mmm")</f>
        <v>0</v>
      </c>
      <c r="P464">
        <f>"Q"&amp;ROUNDUP(MONTH(B464)/3,0)</f>
        <v>0</v>
      </c>
      <c r="Q464">
        <f>IF(J464&gt;=4,"High",IF(J464&gt;=3,"Medium","Low"))</f>
        <v>0</v>
      </c>
      <c r="R464">
        <f>IF(K464&lt;=5,"On Time","Delayed")</f>
        <v>0</v>
      </c>
    </row>
    <row r="465" spans="1:18">
      <c r="A465">
        <f>RAW_DATA!A465</f>
        <v>0</v>
      </c>
      <c r="B465">
        <f>RAW_DATA!B465</f>
        <v>0</v>
      </c>
      <c r="C465">
        <f>RAW_DATA!C465</f>
        <v>0</v>
      </c>
      <c r="D465">
        <f>RAW_DATA!D465</f>
        <v>0</v>
      </c>
      <c r="E465">
        <f>RAW_DATA!E465</f>
        <v>0</v>
      </c>
      <c r="F465">
        <f>RAW_DATA!F465</f>
        <v>0</v>
      </c>
      <c r="G465">
        <f>RAW_DATA!G465</f>
        <v>0</v>
      </c>
      <c r="H465">
        <f>RAW_DATA!H465</f>
        <v>0</v>
      </c>
      <c r="I465">
        <f>RAW_DATA!I465</f>
        <v>0</v>
      </c>
      <c r="J465">
        <f>RAW_DATA!J465</f>
        <v>0</v>
      </c>
      <c r="K465">
        <f>RAW_DATA!K465</f>
        <v>0</v>
      </c>
      <c r="L465">
        <f>RAW_DATA!L465</f>
        <v>0</v>
      </c>
      <c r="M465">
        <f>H465*I465</f>
        <v>0</v>
      </c>
      <c r="N465">
        <f>ISOWEEKNUM(B465)</f>
        <v>0</v>
      </c>
      <c r="O465">
        <f>TEXT(B465,"mmm")</f>
        <v>0</v>
      </c>
      <c r="P465">
        <f>"Q"&amp;ROUNDUP(MONTH(B465)/3,0)</f>
        <v>0</v>
      </c>
      <c r="Q465">
        <f>IF(J465&gt;=4,"High",IF(J465&gt;=3,"Medium","Low"))</f>
        <v>0</v>
      </c>
      <c r="R465">
        <f>IF(K465&lt;=5,"On Time","Delayed")</f>
        <v>0</v>
      </c>
    </row>
    <row r="466" spans="1:18">
      <c r="A466">
        <f>RAW_DATA!A466</f>
        <v>0</v>
      </c>
      <c r="B466">
        <f>RAW_DATA!B466</f>
        <v>0</v>
      </c>
      <c r="C466">
        <f>RAW_DATA!C466</f>
        <v>0</v>
      </c>
      <c r="D466">
        <f>RAW_DATA!D466</f>
        <v>0</v>
      </c>
      <c r="E466">
        <f>RAW_DATA!E466</f>
        <v>0</v>
      </c>
      <c r="F466">
        <f>RAW_DATA!F466</f>
        <v>0</v>
      </c>
      <c r="G466">
        <f>RAW_DATA!G466</f>
        <v>0</v>
      </c>
      <c r="H466">
        <f>RAW_DATA!H466</f>
        <v>0</v>
      </c>
      <c r="I466">
        <f>RAW_DATA!I466</f>
        <v>0</v>
      </c>
      <c r="J466">
        <f>RAW_DATA!J466</f>
        <v>0</v>
      </c>
      <c r="K466">
        <f>RAW_DATA!K466</f>
        <v>0</v>
      </c>
      <c r="L466">
        <f>RAW_DATA!L466</f>
        <v>0</v>
      </c>
      <c r="M466">
        <f>H466*I466</f>
        <v>0</v>
      </c>
      <c r="N466">
        <f>ISOWEEKNUM(B466)</f>
        <v>0</v>
      </c>
      <c r="O466">
        <f>TEXT(B466,"mmm")</f>
        <v>0</v>
      </c>
      <c r="P466">
        <f>"Q"&amp;ROUNDUP(MONTH(B466)/3,0)</f>
        <v>0</v>
      </c>
      <c r="Q466">
        <f>IF(J466&gt;=4,"High",IF(J466&gt;=3,"Medium","Low"))</f>
        <v>0</v>
      </c>
      <c r="R466">
        <f>IF(K466&lt;=5,"On Time","Delayed")</f>
        <v>0</v>
      </c>
    </row>
    <row r="467" spans="1:18">
      <c r="A467">
        <f>RAW_DATA!A467</f>
        <v>0</v>
      </c>
      <c r="B467">
        <f>RAW_DATA!B467</f>
        <v>0</v>
      </c>
      <c r="C467">
        <f>RAW_DATA!C467</f>
        <v>0</v>
      </c>
      <c r="D467">
        <f>RAW_DATA!D467</f>
        <v>0</v>
      </c>
      <c r="E467">
        <f>RAW_DATA!E467</f>
        <v>0</v>
      </c>
      <c r="F467">
        <f>RAW_DATA!F467</f>
        <v>0</v>
      </c>
      <c r="G467">
        <f>RAW_DATA!G467</f>
        <v>0</v>
      </c>
      <c r="H467">
        <f>RAW_DATA!H467</f>
        <v>0</v>
      </c>
      <c r="I467">
        <f>RAW_DATA!I467</f>
        <v>0</v>
      </c>
      <c r="J467">
        <f>RAW_DATA!J467</f>
        <v>0</v>
      </c>
      <c r="K467">
        <f>RAW_DATA!K467</f>
        <v>0</v>
      </c>
      <c r="L467">
        <f>RAW_DATA!L467</f>
        <v>0</v>
      </c>
      <c r="M467">
        <f>H467*I467</f>
        <v>0</v>
      </c>
      <c r="N467">
        <f>ISOWEEKNUM(B467)</f>
        <v>0</v>
      </c>
      <c r="O467">
        <f>TEXT(B467,"mmm")</f>
        <v>0</v>
      </c>
      <c r="P467">
        <f>"Q"&amp;ROUNDUP(MONTH(B467)/3,0)</f>
        <v>0</v>
      </c>
      <c r="Q467">
        <f>IF(J467&gt;=4,"High",IF(J467&gt;=3,"Medium","Low"))</f>
        <v>0</v>
      </c>
      <c r="R467">
        <f>IF(K467&lt;=5,"On Time","Delayed")</f>
        <v>0</v>
      </c>
    </row>
    <row r="468" spans="1:18">
      <c r="A468">
        <f>RAW_DATA!A468</f>
        <v>0</v>
      </c>
      <c r="B468">
        <f>RAW_DATA!B468</f>
        <v>0</v>
      </c>
      <c r="C468">
        <f>RAW_DATA!C468</f>
        <v>0</v>
      </c>
      <c r="D468">
        <f>RAW_DATA!D468</f>
        <v>0</v>
      </c>
      <c r="E468">
        <f>RAW_DATA!E468</f>
        <v>0</v>
      </c>
      <c r="F468">
        <f>RAW_DATA!F468</f>
        <v>0</v>
      </c>
      <c r="G468">
        <f>RAW_DATA!G468</f>
        <v>0</v>
      </c>
      <c r="H468">
        <f>RAW_DATA!H468</f>
        <v>0</v>
      </c>
      <c r="I468">
        <f>RAW_DATA!I468</f>
        <v>0</v>
      </c>
      <c r="J468">
        <f>RAW_DATA!J468</f>
        <v>0</v>
      </c>
      <c r="K468">
        <f>RAW_DATA!K468</f>
        <v>0</v>
      </c>
      <c r="L468">
        <f>RAW_DATA!L468</f>
        <v>0</v>
      </c>
      <c r="M468">
        <f>H468*I468</f>
        <v>0</v>
      </c>
      <c r="N468">
        <f>ISOWEEKNUM(B468)</f>
        <v>0</v>
      </c>
      <c r="O468">
        <f>TEXT(B468,"mmm")</f>
        <v>0</v>
      </c>
      <c r="P468">
        <f>"Q"&amp;ROUNDUP(MONTH(B468)/3,0)</f>
        <v>0</v>
      </c>
      <c r="Q468">
        <f>IF(J468&gt;=4,"High",IF(J468&gt;=3,"Medium","Low"))</f>
        <v>0</v>
      </c>
      <c r="R468">
        <f>IF(K468&lt;=5,"On Time","Delayed")</f>
        <v>0</v>
      </c>
    </row>
    <row r="469" spans="1:18">
      <c r="A469">
        <f>RAW_DATA!A469</f>
        <v>0</v>
      </c>
      <c r="B469">
        <f>RAW_DATA!B469</f>
        <v>0</v>
      </c>
      <c r="C469">
        <f>RAW_DATA!C469</f>
        <v>0</v>
      </c>
      <c r="D469">
        <f>RAW_DATA!D469</f>
        <v>0</v>
      </c>
      <c r="E469">
        <f>RAW_DATA!E469</f>
        <v>0</v>
      </c>
      <c r="F469">
        <f>RAW_DATA!F469</f>
        <v>0</v>
      </c>
      <c r="G469">
        <f>RAW_DATA!G469</f>
        <v>0</v>
      </c>
      <c r="H469">
        <f>RAW_DATA!H469</f>
        <v>0</v>
      </c>
      <c r="I469">
        <f>RAW_DATA!I469</f>
        <v>0</v>
      </c>
      <c r="J469">
        <f>RAW_DATA!J469</f>
        <v>0</v>
      </c>
      <c r="K469">
        <f>RAW_DATA!K469</f>
        <v>0</v>
      </c>
      <c r="L469">
        <f>RAW_DATA!L469</f>
        <v>0</v>
      </c>
      <c r="M469">
        <f>H469*I469</f>
        <v>0</v>
      </c>
      <c r="N469">
        <f>ISOWEEKNUM(B469)</f>
        <v>0</v>
      </c>
      <c r="O469">
        <f>TEXT(B469,"mmm")</f>
        <v>0</v>
      </c>
      <c r="P469">
        <f>"Q"&amp;ROUNDUP(MONTH(B469)/3,0)</f>
        <v>0</v>
      </c>
      <c r="Q469">
        <f>IF(J469&gt;=4,"High",IF(J469&gt;=3,"Medium","Low"))</f>
        <v>0</v>
      </c>
      <c r="R469">
        <f>IF(K469&lt;=5,"On Time","Delayed")</f>
        <v>0</v>
      </c>
    </row>
    <row r="470" spans="1:18">
      <c r="A470">
        <f>RAW_DATA!A470</f>
        <v>0</v>
      </c>
      <c r="B470">
        <f>RAW_DATA!B470</f>
        <v>0</v>
      </c>
      <c r="C470">
        <f>RAW_DATA!C470</f>
        <v>0</v>
      </c>
      <c r="D470">
        <f>RAW_DATA!D470</f>
        <v>0</v>
      </c>
      <c r="E470">
        <f>RAW_DATA!E470</f>
        <v>0</v>
      </c>
      <c r="F470">
        <f>RAW_DATA!F470</f>
        <v>0</v>
      </c>
      <c r="G470">
        <f>RAW_DATA!G470</f>
        <v>0</v>
      </c>
      <c r="H470">
        <f>RAW_DATA!H470</f>
        <v>0</v>
      </c>
      <c r="I470">
        <f>RAW_DATA!I470</f>
        <v>0</v>
      </c>
      <c r="J470">
        <f>RAW_DATA!J470</f>
        <v>0</v>
      </c>
      <c r="K470">
        <f>RAW_DATA!K470</f>
        <v>0</v>
      </c>
      <c r="L470">
        <f>RAW_DATA!L470</f>
        <v>0</v>
      </c>
      <c r="M470">
        <f>H470*I470</f>
        <v>0</v>
      </c>
      <c r="N470">
        <f>ISOWEEKNUM(B470)</f>
        <v>0</v>
      </c>
      <c r="O470">
        <f>TEXT(B470,"mmm")</f>
        <v>0</v>
      </c>
      <c r="P470">
        <f>"Q"&amp;ROUNDUP(MONTH(B470)/3,0)</f>
        <v>0</v>
      </c>
      <c r="Q470">
        <f>IF(J470&gt;=4,"High",IF(J470&gt;=3,"Medium","Low"))</f>
        <v>0</v>
      </c>
      <c r="R470">
        <f>IF(K470&lt;=5,"On Time","Delayed")</f>
        <v>0</v>
      </c>
    </row>
    <row r="471" spans="1:18">
      <c r="A471">
        <f>RAW_DATA!A471</f>
        <v>0</v>
      </c>
      <c r="B471">
        <f>RAW_DATA!B471</f>
        <v>0</v>
      </c>
      <c r="C471">
        <f>RAW_DATA!C471</f>
        <v>0</v>
      </c>
      <c r="D471">
        <f>RAW_DATA!D471</f>
        <v>0</v>
      </c>
      <c r="E471">
        <f>RAW_DATA!E471</f>
        <v>0</v>
      </c>
      <c r="F471">
        <f>RAW_DATA!F471</f>
        <v>0</v>
      </c>
      <c r="G471">
        <f>RAW_DATA!G471</f>
        <v>0</v>
      </c>
      <c r="H471">
        <f>RAW_DATA!H471</f>
        <v>0</v>
      </c>
      <c r="I471">
        <f>RAW_DATA!I471</f>
        <v>0</v>
      </c>
      <c r="J471">
        <f>RAW_DATA!J471</f>
        <v>0</v>
      </c>
      <c r="K471">
        <f>RAW_DATA!K471</f>
        <v>0</v>
      </c>
      <c r="L471">
        <f>RAW_DATA!L471</f>
        <v>0</v>
      </c>
      <c r="M471">
        <f>H471*I471</f>
        <v>0</v>
      </c>
      <c r="N471">
        <f>ISOWEEKNUM(B471)</f>
        <v>0</v>
      </c>
      <c r="O471">
        <f>TEXT(B471,"mmm")</f>
        <v>0</v>
      </c>
      <c r="P471">
        <f>"Q"&amp;ROUNDUP(MONTH(B471)/3,0)</f>
        <v>0</v>
      </c>
      <c r="Q471">
        <f>IF(J471&gt;=4,"High",IF(J471&gt;=3,"Medium","Low"))</f>
        <v>0</v>
      </c>
      <c r="R471">
        <f>IF(K471&lt;=5,"On Time","Delayed")</f>
        <v>0</v>
      </c>
    </row>
    <row r="472" spans="1:18">
      <c r="A472">
        <f>RAW_DATA!A472</f>
        <v>0</v>
      </c>
      <c r="B472">
        <f>RAW_DATA!B472</f>
        <v>0</v>
      </c>
      <c r="C472">
        <f>RAW_DATA!C472</f>
        <v>0</v>
      </c>
      <c r="D472">
        <f>RAW_DATA!D472</f>
        <v>0</v>
      </c>
      <c r="E472">
        <f>RAW_DATA!E472</f>
        <v>0</v>
      </c>
      <c r="F472">
        <f>RAW_DATA!F472</f>
        <v>0</v>
      </c>
      <c r="G472">
        <f>RAW_DATA!G472</f>
        <v>0</v>
      </c>
      <c r="H472">
        <f>RAW_DATA!H472</f>
        <v>0</v>
      </c>
      <c r="I472">
        <f>RAW_DATA!I472</f>
        <v>0</v>
      </c>
      <c r="J472">
        <f>RAW_DATA!J472</f>
        <v>0</v>
      </c>
      <c r="K472">
        <f>RAW_DATA!K472</f>
        <v>0</v>
      </c>
      <c r="L472">
        <f>RAW_DATA!L472</f>
        <v>0</v>
      </c>
      <c r="M472">
        <f>H472*I472</f>
        <v>0</v>
      </c>
      <c r="N472">
        <f>ISOWEEKNUM(B472)</f>
        <v>0</v>
      </c>
      <c r="O472">
        <f>TEXT(B472,"mmm")</f>
        <v>0</v>
      </c>
      <c r="P472">
        <f>"Q"&amp;ROUNDUP(MONTH(B472)/3,0)</f>
        <v>0</v>
      </c>
      <c r="Q472">
        <f>IF(J472&gt;=4,"High",IF(J472&gt;=3,"Medium","Low"))</f>
        <v>0</v>
      </c>
      <c r="R472">
        <f>IF(K472&lt;=5,"On Time","Delayed")</f>
        <v>0</v>
      </c>
    </row>
    <row r="473" spans="1:18">
      <c r="A473">
        <f>RAW_DATA!A473</f>
        <v>0</v>
      </c>
      <c r="B473">
        <f>RAW_DATA!B473</f>
        <v>0</v>
      </c>
      <c r="C473">
        <f>RAW_DATA!C473</f>
        <v>0</v>
      </c>
      <c r="D473">
        <f>RAW_DATA!D473</f>
        <v>0</v>
      </c>
      <c r="E473">
        <f>RAW_DATA!E473</f>
        <v>0</v>
      </c>
      <c r="F473">
        <f>RAW_DATA!F473</f>
        <v>0</v>
      </c>
      <c r="G473">
        <f>RAW_DATA!G473</f>
        <v>0</v>
      </c>
      <c r="H473">
        <f>RAW_DATA!H473</f>
        <v>0</v>
      </c>
      <c r="I473">
        <f>RAW_DATA!I473</f>
        <v>0</v>
      </c>
      <c r="J473">
        <f>RAW_DATA!J473</f>
        <v>0</v>
      </c>
      <c r="K473">
        <f>RAW_DATA!K473</f>
        <v>0</v>
      </c>
      <c r="L473">
        <f>RAW_DATA!L473</f>
        <v>0</v>
      </c>
      <c r="M473">
        <f>H473*I473</f>
        <v>0</v>
      </c>
      <c r="N473">
        <f>ISOWEEKNUM(B473)</f>
        <v>0</v>
      </c>
      <c r="O473">
        <f>TEXT(B473,"mmm")</f>
        <v>0</v>
      </c>
      <c r="P473">
        <f>"Q"&amp;ROUNDUP(MONTH(B473)/3,0)</f>
        <v>0</v>
      </c>
      <c r="Q473">
        <f>IF(J473&gt;=4,"High",IF(J473&gt;=3,"Medium","Low"))</f>
        <v>0</v>
      </c>
      <c r="R473">
        <f>IF(K473&lt;=5,"On Time","Delayed")</f>
        <v>0</v>
      </c>
    </row>
    <row r="474" spans="1:18">
      <c r="A474">
        <f>RAW_DATA!A474</f>
        <v>0</v>
      </c>
      <c r="B474">
        <f>RAW_DATA!B474</f>
        <v>0</v>
      </c>
      <c r="C474">
        <f>RAW_DATA!C474</f>
        <v>0</v>
      </c>
      <c r="D474">
        <f>RAW_DATA!D474</f>
        <v>0</v>
      </c>
      <c r="E474">
        <f>RAW_DATA!E474</f>
        <v>0</v>
      </c>
      <c r="F474">
        <f>RAW_DATA!F474</f>
        <v>0</v>
      </c>
      <c r="G474">
        <f>RAW_DATA!G474</f>
        <v>0</v>
      </c>
      <c r="H474">
        <f>RAW_DATA!H474</f>
        <v>0</v>
      </c>
      <c r="I474">
        <f>RAW_DATA!I474</f>
        <v>0</v>
      </c>
      <c r="J474">
        <f>RAW_DATA!J474</f>
        <v>0</v>
      </c>
      <c r="K474">
        <f>RAW_DATA!K474</f>
        <v>0</v>
      </c>
      <c r="L474">
        <f>RAW_DATA!L474</f>
        <v>0</v>
      </c>
      <c r="M474">
        <f>H474*I474</f>
        <v>0</v>
      </c>
      <c r="N474">
        <f>ISOWEEKNUM(B474)</f>
        <v>0</v>
      </c>
      <c r="O474">
        <f>TEXT(B474,"mmm")</f>
        <v>0</v>
      </c>
      <c r="P474">
        <f>"Q"&amp;ROUNDUP(MONTH(B474)/3,0)</f>
        <v>0</v>
      </c>
      <c r="Q474">
        <f>IF(J474&gt;=4,"High",IF(J474&gt;=3,"Medium","Low"))</f>
        <v>0</v>
      </c>
      <c r="R474">
        <f>IF(K474&lt;=5,"On Time","Delayed")</f>
        <v>0</v>
      </c>
    </row>
    <row r="475" spans="1:18">
      <c r="A475">
        <f>RAW_DATA!A475</f>
        <v>0</v>
      </c>
      <c r="B475">
        <f>RAW_DATA!B475</f>
        <v>0</v>
      </c>
      <c r="C475">
        <f>RAW_DATA!C475</f>
        <v>0</v>
      </c>
      <c r="D475">
        <f>RAW_DATA!D475</f>
        <v>0</v>
      </c>
      <c r="E475">
        <f>RAW_DATA!E475</f>
        <v>0</v>
      </c>
      <c r="F475">
        <f>RAW_DATA!F475</f>
        <v>0</v>
      </c>
      <c r="G475">
        <f>RAW_DATA!G475</f>
        <v>0</v>
      </c>
      <c r="H475">
        <f>RAW_DATA!H475</f>
        <v>0</v>
      </c>
      <c r="I475">
        <f>RAW_DATA!I475</f>
        <v>0</v>
      </c>
      <c r="J475">
        <f>RAW_DATA!J475</f>
        <v>0</v>
      </c>
      <c r="K475">
        <f>RAW_DATA!K475</f>
        <v>0</v>
      </c>
      <c r="L475">
        <f>RAW_DATA!L475</f>
        <v>0</v>
      </c>
      <c r="M475">
        <f>H475*I475</f>
        <v>0</v>
      </c>
      <c r="N475">
        <f>ISOWEEKNUM(B475)</f>
        <v>0</v>
      </c>
      <c r="O475">
        <f>TEXT(B475,"mmm")</f>
        <v>0</v>
      </c>
      <c r="P475">
        <f>"Q"&amp;ROUNDUP(MONTH(B475)/3,0)</f>
        <v>0</v>
      </c>
      <c r="Q475">
        <f>IF(J475&gt;=4,"High",IF(J475&gt;=3,"Medium","Low"))</f>
        <v>0</v>
      </c>
      <c r="R475">
        <f>IF(K475&lt;=5,"On Time","Delayed")</f>
        <v>0</v>
      </c>
    </row>
    <row r="476" spans="1:18">
      <c r="A476">
        <f>RAW_DATA!A476</f>
        <v>0</v>
      </c>
      <c r="B476">
        <f>RAW_DATA!B476</f>
        <v>0</v>
      </c>
      <c r="C476">
        <f>RAW_DATA!C476</f>
        <v>0</v>
      </c>
      <c r="D476">
        <f>RAW_DATA!D476</f>
        <v>0</v>
      </c>
      <c r="E476">
        <f>RAW_DATA!E476</f>
        <v>0</v>
      </c>
      <c r="F476">
        <f>RAW_DATA!F476</f>
        <v>0</v>
      </c>
      <c r="G476">
        <f>RAW_DATA!G476</f>
        <v>0</v>
      </c>
      <c r="H476">
        <f>RAW_DATA!H476</f>
        <v>0</v>
      </c>
      <c r="I476">
        <f>RAW_DATA!I476</f>
        <v>0</v>
      </c>
      <c r="J476">
        <f>RAW_DATA!J476</f>
        <v>0</v>
      </c>
      <c r="K476">
        <f>RAW_DATA!K476</f>
        <v>0</v>
      </c>
      <c r="L476">
        <f>RAW_DATA!L476</f>
        <v>0</v>
      </c>
      <c r="M476">
        <f>H476*I476</f>
        <v>0</v>
      </c>
      <c r="N476">
        <f>ISOWEEKNUM(B476)</f>
        <v>0</v>
      </c>
      <c r="O476">
        <f>TEXT(B476,"mmm")</f>
        <v>0</v>
      </c>
      <c r="P476">
        <f>"Q"&amp;ROUNDUP(MONTH(B476)/3,0)</f>
        <v>0</v>
      </c>
      <c r="Q476">
        <f>IF(J476&gt;=4,"High",IF(J476&gt;=3,"Medium","Low"))</f>
        <v>0</v>
      </c>
      <c r="R476">
        <f>IF(K476&lt;=5,"On Time","Delayed")</f>
        <v>0</v>
      </c>
    </row>
    <row r="477" spans="1:18">
      <c r="A477">
        <f>RAW_DATA!A477</f>
        <v>0</v>
      </c>
      <c r="B477">
        <f>RAW_DATA!B477</f>
        <v>0</v>
      </c>
      <c r="C477">
        <f>RAW_DATA!C477</f>
        <v>0</v>
      </c>
      <c r="D477">
        <f>RAW_DATA!D477</f>
        <v>0</v>
      </c>
      <c r="E477">
        <f>RAW_DATA!E477</f>
        <v>0</v>
      </c>
      <c r="F477">
        <f>RAW_DATA!F477</f>
        <v>0</v>
      </c>
      <c r="G477">
        <f>RAW_DATA!G477</f>
        <v>0</v>
      </c>
      <c r="H477">
        <f>RAW_DATA!H477</f>
        <v>0</v>
      </c>
      <c r="I477">
        <f>RAW_DATA!I477</f>
        <v>0</v>
      </c>
      <c r="J477">
        <f>RAW_DATA!J477</f>
        <v>0</v>
      </c>
      <c r="K477">
        <f>RAW_DATA!K477</f>
        <v>0</v>
      </c>
      <c r="L477">
        <f>RAW_DATA!L477</f>
        <v>0</v>
      </c>
      <c r="M477">
        <f>H477*I477</f>
        <v>0</v>
      </c>
      <c r="N477">
        <f>ISOWEEKNUM(B477)</f>
        <v>0</v>
      </c>
      <c r="O477">
        <f>TEXT(B477,"mmm")</f>
        <v>0</v>
      </c>
      <c r="P477">
        <f>"Q"&amp;ROUNDUP(MONTH(B477)/3,0)</f>
        <v>0</v>
      </c>
      <c r="Q477">
        <f>IF(J477&gt;=4,"High",IF(J477&gt;=3,"Medium","Low"))</f>
        <v>0</v>
      </c>
      <c r="R477">
        <f>IF(K477&lt;=5,"On Time","Delayed")</f>
        <v>0</v>
      </c>
    </row>
    <row r="478" spans="1:18">
      <c r="A478">
        <f>RAW_DATA!A478</f>
        <v>0</v>
      </c>
      <c r="B478">
        <f>RAW_DATA!B478</f>
        <v>0</v>
      </c>
      <c r="C478">
        <f>RAW_DATA!C478</f>
        <v>0</v>
      </c>
      <c r="D478">
        <f>RAW_DATA!D478</f>
        <v>0</v>
      </c>
      <c r="E478">
        <f>RAW_DATA!E478</f>
        <v>0</v>
      </c>
      <c r="F478">
        <f>RAW_DATA!F478</f>
        <v>0</v>
      </c>
      <c r="G478">
        <f>RAW_DATA!G478</f>
        <v>0</v>
      </c>
      <c r="H478">
        <f>RAW_DATA!H478</f>
        <v>0</v>
      </c>
      <c r="I478">
        <f>RAW_DATA!I478</f>
        <v>0</v>
      </c>
      <c r="J478">
        <f>RAW_DATA!J478</f>
        <v>0</v>
      </c>
      <c r="K478">
        <f>RAW_DATA!K478</f>
        <v>0</v>
      </c>
      <c r="L478">
        <f>RAW_DATA!L478</f>
        <v>0</v>
      </c>
      <c r="M478">
        <f>H478*I478</f>
        <v>0</v>
      </c>
      <c r="N478">
        <f>ISOWEEKNUM(B478)</f>
        <v>0</v>
      </c>
      <c r="O478">
        <f>TEXT(B478,"mmm")</f>
        <v>0</v>
      </c>
      <c r="P478">
        <f>"Q"&amp;ROUNDUP(MONTH(B478)/3,0)</f>
        <v>0</v>
      </c>
      <c r="Q478">
        <f>IF(J478&gt;=4,"High",IF(J478&gt;=3,"Medium","Low"))</f>
        <v>0</v>
      </c>
      <c r="R478">
        <f>IF(K478&lt;=5,"On Time","Delayed")</f>
        <v>0</v>
      </c>
    </row>
    <row r="479" spans="1:18">
      <c r="A479">
        <f>RAW_DATA!A479</f>
        <v>0</v>
      </c>
      <c r="B479">
        <f>RAW_DATA!B479</f>
        <v>0</v>
      </c>
      <c r="C479">
        <f>RAW_DATA!C479</f>
        <v>0</v>
      </c>
      <c r="D479">
        <f>RAW_DATA!D479</f>
        <v>0</v>
      </c>
      <c r="E479">
        <f>RAW_DATA!E479</f>
        <v>0</v>
      </c>
      <c r="F479">
        <f>RAW_DATA!F479</f>
        <v>0</v>
      </c>
      <c r="G479">
        <f>RAW_DATA!G479</f>
        <v>0</v>
      </c>
      <c r="H479">
        <f>RAW_DATA!H479</f>
        <v>0</v>
      </c>
      <c r="I479">
        <f>RAW_DATA!I479</f>
        <v>0</v>
      </c>
      <c r="J479">
        <f>RAW_DATA!J479</f>
        <v>0</v>
      </c>
      <c r="K479">
        <f>RAW_DATA!K479</f>
        <v>0</v>
      </c>
      <c r="L479">
        <f>RAW_DATA!L479</f>
        <v>0</v>
      </c>
      <c r="M479">
        <f>H479*I479</f>
        <v>0</v>
      </c>
      <c r="N479">
        <f>ISOWEEKNUM(B479)</f>
        <v>0</v>
      </c>
      <c r="O479">
        <f>TEXT(B479,"mmm")</f>
        <v>0</v>
      </c>
      <c r="P479">
        <f>"Q"&amp;ROUNDUP(MONTH(B479)/3,0)</f>
        <v>0</v>
      </c>
      <c r="Q479">
        <f>IF(J479&gt;=4,"High",IF(J479&gt;=3,"Medium","Low"))</f>
        <v>0</v>
      </c>
      <c r="R479">
        <f>IF(K479&lt;=5,"On Time","Delayed")</f>
        <v>0</v>
      </c>
    </row>
    <row r="480" spans="1:18">
      <c r="A480">
        <f>RAW_DATA!A480</f>
        <v>0</v>
      </c>
      <c r="B480">
        <f>RAW_DATA!B480</f>
        <v>0</v>
      </c>
      <c r="C480">
        <f>RAW_DATA!C480</f>
        <v>0</v>
      </c>
      <c r="D480">
        <f>RAW_DATA!D480</f>
        <v>0</v>
      </c>
      <c r="E480">
        <f>RAW_DATA!E480</f>
        <v>0</v>
      </c>
      <c r="F480">
        <f>RAW_DATA!F480</f>
        <v>0</v>
      </c>
      <c r="G480">
        <f>RAW_DATA!G480</f>
        <v>0</v>
      </c>
      <c r="H480">
        <f>RAW_DATA!H480</f>
        <v>0</v>
      </c>
      <c r="I480">
        <f>RAW_DATA!I480</f>
        <v>0</v>
      </c>
      <c r="J480">
        <f>RAW_DATA!J480</f>
        <v>0</v>
      </c>
      <c r="K480">
        <f>RAW_DATA!K480</f>
        <v>0</v>
      </c>
      <c r="L480">
        <f>RAW_DATA!L480</f>
        <v>0</v>
      </c>
      <c r="M480">
        <f>H480*I480</f>
        <v>0</v>
      </c>
      <c r="N480">
        <f>ISOWEEKNUM(B480)</f>
        <v>0</v>
      </c>
      <c r="O480">
        <f>TEXT(B480,"mmm")</f>
        <v>0</v>
      </c>
      <c r="P480">
        <f>"Q"&amp;ROUNDUP(MONTH(B480)/3,0)</f>
        <v>0</v>
      </c>
      <c r="Q480">
        <f>IF(J480&gt;=4,"High",IF(J480&gt;=3,"Medium","Low"))</f>
        <v>0</v>
      </c>
      <c r="R480">
        <f>IF(K480&lt;=5,"On Time","Delayed")</f>
        <v>0</v>
      </c>
    </row>
    <row r="481" spans="1:18">
      <c r="A481">
        <f>RAW_DATA!A481</f>
        <v>0</v>
      </c>
      <c r="B481">
        <f>RAW_DATA!B481</f>
        <v>0</v>
      </c>
      <c r="C481">
        <f>RAW_DATA!C481</f>
        <v>0</v>
      </c>
      <c r="D481">
        <f>RAW_DATA!D481</f>
        <v>0</v>
      </c>
      <c r="E481">
        <f>RAW_DATA!E481</f>
        <v>0</v>
      </c>
      <c r="F481">
        <f>RAW_DATA!F481</f>
        <v>0</v>
      </c>
      <c r="G481">
        <f>RAW_DATA!G481</f>
        <v>0</v>
      </c>
      <c r="H481">
        <f>RAW_DATA!H481</f>
        <v>0</v>
      </c>
      <c r="I481">
        <f>RAW_DATA!I481</f>
        <v>0</v>
      </c>
      <c r="J481">
        <f>RAW_DATA!J481</f>
        <v>0</v>
      </c>
      <c r="K481">
        <f>RAW_DATA!K481</f>
        <v>0</v>
      </c>
      <c r="L481">
        <f>RAW_DATA!L481</f>
        <v>0</v>
      </c>
      <c r="M481">
        <f>H481*I481</f>
        <v>0</v>
      </c>
      <c r="N481">
        <f>ISOWEEKNUM(B481)</f>
        <v>0</v>
      </c>
      <c r="O481">
        <f>TEXT(B481,"mmm")</f>
        <v>0</v>
      </c>
      <c r="P481">
        <f>"Q"&amp;ROUNDUP(MONTH(B481)/3,0)</f>
        <v>0</v>
      </c>
      <c r="Q481">
        <f>IF(J481&gt;=4,"High",IF(J481&gt;=3,"Medium","Low"))</f>
        <v>0</v>
      </c>
      <c r="R481">
        <f>IF(K481&lt;=5,"On Time","Delayed")</f>
        <v>0</v>
      </c>
    </row>
    <row r="482" spans="1:18">
      <c r="A482">
        <f>RAW_DATA!A482</f>
        <v>0</v>
      </c>
      <c r="B482">
        <f>RAW_DATA!B482</f>
        <v>0</v>
      </c>
      <c r="C482">
        <f>RAW_DATA!C482</f>
        <v>0</v>
      </c>
      <c r="D482">
        <f>RAW_DATA!D482</f>
        <v>0</v>
      </c>
      <c r="E482">
        <f>RAW_DATA!E482</f>
        <v>0</v>
      </c>
      <c r="F482">
        <f>RAW_DATA!F482</f>
        <v>0</v>
      </c>
      <c r="G482">
        <f>RAW_DATA!G482</f>
        <v>0</v>
      </c>
      <c r="H482">
        <f>RAW_DATA!H482</f>
        <v>0</v>
      </c>
      <c r="I482">
        <f>RAW_DATA!I482</f>
        <v>0</v>
      </c>
      <c r="J482">
        <f>RAW_DATA!J482</f>
        <v>0</v>
      </c>
      <c r="K482">
        <f>RAW_DATA!K482</f>
        <v>0</v>
      </c>
      <c r="L482">
        <f>RAW_DATA!L482</f>
        <v>0</v>
      </c>
      <c r="M482">
        <f>H482*I482</f>
        <v>0</v>
      </c>
      <c r="N482">
        <f>ISOWEEKNUM(B482)</f>
        <v>0</v>
      </c>
      <c r="O482">
        <f>TEXT(B482,"mmm")</f>
        <v>0</v>
      </c>
      <c r="P482">
        <f>"Q"&amp;ROUNDUP(MONTH(B482)/3,0)</f>
        <v>0</v>
      </c>
      <c r="Q482">
        <f>IF(J482&gt;=4,"High",IF(J482&gt;=3,"Medium","Low"))</f>
        <v>0</v>
      </c>
      <c r="R482">
        <f>IF(K482&lt;=5,"On Time","Delayed")</f>
        <v>0</v>
      </c>
    </row>
    <row r="483" spans="1:18">
      <c r="A483">
        <f>RAW_DATA!A483</f>
        <v>0</v>
      </c>
      <c r="B483">
        <f>RAW_DATA!B483</f>
        <v>0</v>
      </c>
      <c r="C483">
        <f>RAW_DATA!C483</f>
        <v>0</v>
      </c>
      <c r="D483">
        <f>RAW_DATA!D483</f>
        <v>0</v>
      </c>
      <c r="E483">
        <f>RAW_DATA!E483</f>
        <v>0</v>
      </c>
      <c r="F483">
        <f>RAW_DATA!F483</f>
        <v>0</v>
      </c>
      <c r="G483">
        <f>RAW_DATA!G483</f>
        <v>0</v>
      </c>
      <c r="H483">
        <f>RAW_DATA!H483</f>
        <v>0</v>
      </c>
      <c r="I483">
        <f>RAW_DATA!I483</f>
        <v>0</v>
      </c>
      <c r="J483">
        <f>RAW_DATA!J483</f>
        <v>0</v>
      </c>
      <c r="K483">
        <f>RAW_DATA!K483</f>
        <v>0</v>
      </c>
      <c r="L483">
        <f>RAW_DATA!L483</f>
        <v>0</v>
      </c>
      <c r="M483">
        <f>H483*I483</f>
        <v>0</v>
      </c>
      <c r="N483">
        <f>ISOWEEKNUM(B483)</f>
        <v>0</v>
      </c>
      <c r="O483">
        <f>TEXT(B483,"mmm")</f>
        <v>0</v>
      </c>
      <c r="P483">
        <f>"Q"&amp;ROUNDUP(MONTH(B483)/3,0)</f>
        <v>0</v>
      </c>
      <c r="Q483">
        <f>IF(J483&gt;=4,"High",IF(J483&gt;=3,"Medium","Low"))</f>
        <v>0</v>
      </c>
      <c r="R483">
        <f>IF(K483&lt;=5,"On Time","Delayed")</f>
        <v>0</v>
      </c>
    </row>
    <row r="484" spans="1:18">
      <c r="A484">
        <f>RAW_DATA!A484</f>
        <v>0</v>
      </c>
      <c r="B484">
        <f>RAW_DATA!B484</f>
        <v>0</v>
      </c>
      <c r="C484">
        <f>RAW_DATA!C484</f>
        <v>0</v>
      </c>
      <c r="D484">
        <f>RAW_DATA!D484</f>
        <v>0</v>
      </c>
      <c r="E484">
        <f>RAW_DATA!E484</f>
        <v>0</v>
      </c>
      <c r="F484">
        <f>RAW_DATA!F484</f>
        <v>0</v>
      </c>
      <c r="G484">
        <f>RAW_DATA!G484</f>
        <v>0</v>
      </c>
      <c r="H484">
        <f>RAW_DATA!H484</f>
        <v>0</v>
      </c>
      <c r="I484">
        <f>RAW_DATA!I484</f>
        <v>0</v>
      </c>
      <c r="J484">
        <f>RAW_DATA!J484</f>
        <v>0</v>
      </c>
      <c r="K484">
        <f>RAW_DATA!K484</f>
        <v>0</v>
      </c>
      <c r="L484">
        <f>RAW_DATA!L484</f>
        <v>0</v>
      </c>
      <c r="M484">
        <f>H484*I484</f>
        <v>0</v>
      </c>
      <c r="N484">
        <f>ISOWEEKNUM(B484)</f>
        <v>0</v>
      </c>
      <c r="O484">
        <f>TEXT(B484,"mmm")</f>
        <v>0</v>
      </c>
      <c r="P484">
        <f>"Q"&amp;ROUNDUP(MONTH(B484)/3,0)</f>
        <v>0</v>
      </c>
      <c r="Q484">
        <f>IF(J484&gt;=4,"High",IF(J484&gt;=3,"Medium","Low"))</f>
        <v>0</v>
      </c>
      <c r="R484">
        <f>IF(K484&lt;=5,"On Time","Delayed")</f>
        <v>0</v>
      </c>
    </row>
    <row r="485" spans="1:18">
      <c r="A485">
        <f>RAW_DATA!A485</f>
        <v>0</v>
      </c>
      <c r="B485">
        <f>RAW_DATA!B485</f>
        <v>0</v>
      </c>
      <c r="C485">
        <f>RAW_DATA!C485</f>
        <v>0</v>
      </c>
      <c r="D485">
        <f>RAW_DATA!D485</f>
        <v>0</v>
      </c>
      <c r="E485">
        <f>RAW_DATA!E485</f>
        <v>0</v>
      </c>
      <c r="F485">
        <f>RAW_DATA!F485</f>
        <v>0</v>
      </c>
      <c r="G485">
        <f>RAW_DATA!G485</f>
        <v>0</v>
      </c>
      <c r="H485">
        <f>RAW_DATA!H485</f>
        <v>0</v>
      </c>
      <c r="I485">
        <f>RAW_DATA!I485</f>
        <v>0</v>
      </c>
      <c r="J485">
        <f>RAW_DATA!J485</f>
        <v>0</v>
      </c>
      <c r="K485">
        <f>RAW_DATA!K485</f>
        <v>0</v>
      </c>
      <c r="L485">
        <f>RAW_DATA!L485</f>
        <v>0</v>
      </c>
      <c r="M485">
        <f>H485*I485</f>
        <v>0</v>
      </c>
      <c r="N485">
        <f>ISOWEEKNUM(B485)</f>
        <v>0</v>
      </c>
      <c r="O485">
        <f>TEXT(B485,"mmm")</f>
        <v>0</v>
      </c>
      <c r="P485">
        <f>"Q"&amp;ROUNDUP(MONTH(B485)/3,0)</f>
        <v>0</v>
      </c>
      <c r="Q485">
        <f>IF(J485&gt;=4,"High",IF(J485&gt;=3,"Medium","Low"))</f>
        <v>0</v>
      </c>
      <c r="R485">
        <f>IF(K485&lt;=5,"On Time","Delayed")</f>
        <v>0</v>
      </c>
    </row>
    <row r="486" spans="1:18">
      <c r="A486">
        <f>RAW_DATA!A486</f>
        <v>0</v>
      </c>
      <c r="B486">
        <f>RAW_DATA!B486</f>
        <v>0</v>
      </c>
      <c r="C486">
        <f>RAW_DATA!C486</f>
        <v>0</v>
      </c>
      <c r="D486">
        <f>RAW_DATA!D486</f>
        <v>0</v>
      </c>
      <c r="E486">
        <f>RAW_DATA!E486</f>
        <v>0</v>
      </c>
      <c r="F486">
        <f>RAW_DATA!F486</f>
        <v>0</v>
      </c>
      <c r="G486">
        <f>RAW_DATA!G486</f>
        <v>0</v>
      </c>
      <c r="H486">
        <f>RAW_DATA!H486</f>
        <v>0</v>
      </c>
      <c r="I486">
        <f>RAW_DATA!I486</f>
        <v>0</v>
      </c>
      <c r="J486">
        <f>RAW_DATA!J486</f>
        <v>0</v>
      </c>
      <c r="K486">
        <f>RAW_DATA!K486</f>
        <v>0</v>
      </c>
      <c r="L486">
        <f>RAW_DATA!L486</f>
        <v>0</v>
      </c>
      <c r="M486">
        <f>H486*I486</f>
        <v>0</v>
      </c>
      <c r="N486">
        <f>ISOWEEKNUM(B486)</f>
        <v>0</v>
      </c>
      <c r="O486">
        <f>TEXT(B486,"mmm")</f>
        <v>0</v>
      </c>
      <c r="P486">
        <f>"Q"&amp;ROUNDUP(MONTH(B486)/3,0)</f>
        <v>0</v>
      </c>
      <c r="Q486">
        <f>IF(J486&gt;=4,"High",IF(J486&gt;=3,"Medium","Low"))</f>
        <v>0</v>
      </c>
      <c r="R486">
        <f>IF(K486&lt;=5,"On Time","Delayed")</f>
        <v>0</v>
      </c>
    </row>
    <row r="487" spans="1:18">
      <c r="A487">
        <f>RAW_DATA!A487</f>
        <v>0</v>
      </c>
      <c r="B487">
        <f>RAW_DATA!B487</f>
        <v>0</v>
      </c>
      <c r="C487">
        <f>RAW_DATA!C487</f>
        <v>0</v>
      </c>
      <c r="D487">
        <f>RAW_DATA!D487</f>
        <v>0</v>
      </c>
      <c r="E487">
        <f>RAW_DATA!E487</f>
        <v>0</v>
      </c>
      <c r="F487">
        <f>RAW_DATA!F487</f>
        <v>0</v>
      </c>
      <c r="G487">
        <f>RAW_DATA!G487</f>
        <v>0</v>
      </c>
      <c r="H487">
        <f>RAW_DATA!H487</f>
        <v>0</v>
      </c>
      <c r="I487">
        <f>RAW_DATA!I487</f>
        <v>0</v>
      </c>
      <c r="J487">
        <f>RAW_DATA!J487</f>
        <v>0</v>
      </c>
      <c r="K487">
        <f>RAW_DATA!K487</f>
        <v>0</v>
      </c>
      <c r="L487">
        <f>RAW_DATA!L487</f>
        <v>0</v>
      </c>
      <c r="M487">
        <f>H487*I487</f>
        <v>0</v>
      </c>
      <c r="N487">
        <f>ISOWEEKNUM(B487)</f>
        <v>0</v>
      </c>
      <c r="O487">
        <f>TEXT(B487,"mmm")</f>
        <v>0</v>
      </c>
      <c r="P487">
        <f>"Q"&amp;ROUNDUP(MONTH(B487)/3,0)</f>
        <v>0</v>
      </c>
      <c r="Q487">
        <f>IF(J487&gt;=4,"High",IF(J487&gt;=3,"Medium","Low"))</f>
        <v>0</v>
      </c>
      <c r="R487">
        <f>IF(K487&lt;=5,"On Time","Delayed")</f>
        <v>0</v>
      </c>
    </row>
    <row r="488" spans="1:18">
      <c r="A488">
        <f>RAW_DATA!A488</f>
        <v>0</v>
      </c>
      <c r="B488">
        <f>RAW_DATA!B488</f>
        <v>0</v>
      </c>
      <c r="C488">
        <f>RAW_DATA!C488</f>
        <v>0</v>
      </c>
      <c r="D488">
        <f>RAW_DATA!D488</f>
        <v>0</v>
      </c>
      <c r="E488">
        <f>RAW_DATA!E488</f>
        <v>0</v>
      </c>
      <c r="F488">
        <f>RAW_DATA!F488</f>
        <v>0</v>
      </c>
      <c r="G488">
        <f>RAW_DATA!G488</f>
        <v>0</v>
      </c>
      <c r="H488">
        <f>RAW_DATA!H488</f>
        <v>0</v>
      </c>
      <c r="I488">
        <f>RAW_DATA!I488</f>
        <v>0</v>
      </c>
      <c r="J488">
        <f>RAW_DATA!J488</f>
        <v>0</v>
      </c>
      <c r="K488">
        <f>RAW_DATA!K488</f>
        <v>0</v>
      </c>
      <c r="L488">
        <f>RAW_DATA!L488</f>
        <v>0</v>
      </c>
      <c r="M488">
        <f>H488*I488</f>
        <v>0</v>
      </c>
      <c r="N488">
        <f>ISOWEEKNUM(B488)</f>
        <v>0</v>
      </c>
      <c r="O488">
        <f>TEXT(B488,"mmm")</f>
        <v>0</v>
      </c>
      <c r="P488">
        <f>"Q"&amp;ROUNDUP(MONTH(B488)/3,0)</f>
        <v>0</v>
      </c>
      <c r="Q488">
        <f>IF(J488&gt;=4,"High",IF(J488&gt;=3,"Medium","Low"))</f>
        <v>0</v>
      </c>
      <c r="R488">
        <f>IF(K488&lt;=5,"On Time","Delayed")</f>
        <v>0</v>
      </c>
    </row>
    <row r="489" spans="1:18">
      <c r="A489">
        <f>RAW_DATA!A489</f>
        <v>0</v>
      </c>
      <c r="B489">
        <f>RAW_DATA!B489</f>
        <v>0</v>
      </c>
      <c r="C489">
        <f>RAW_DATA!C489</f>
        <v>0</v>
      </c>
      <c r="D489">
        <f>RAW_DATA!D489</f>
        <v>0</v>
      </c>
      <c r="E489">
        <f>RAW_DATA!E489</f>
        <v>0</v>
      </c>
      <c r="F489">
        <f>RAW_DATA!F489</f>
        <v>0</v>
      </c>
      <c r="G489">
        <f>RAW_DATA!G489</f>
        <v>0</v>
      </c>
      <c r="H489">
        <f>RAW_DATA!H489</f>
        <v>0</v>
      </c>
      <c r="I489">
        <f>RAW_DATA!I489</f>
        <v>0</v>
      </c>
      <c r="J489">
        <f>RAW_DATA!J489</f>
        <v>0</v>
      </c>
      <c r="K489">
        <f>RAW_DATA!K489</f>
        <v>0</v>
      </c>
      <c r="L489">
        <f>RAW_DATA!L489</f>
        <v>0</v>
      </c>
      <c r="M489">
        <f>H489*I489</f>
        <v>0</v>
      </c>
      <c r="N489">
        <f>ISOWEEKNUM(B489)</f>
        <v>0</v>
      </c>
      <c r="O489">
        <f>TEXT(B489,"mmm")</f>
        <v>0</v>
      </c>
      <c r="P489">
        <f>"Q"&amp;ROUNDUP(MONTH(B489)/3,0)</f>
        <v>0</v>
      </c>
      <c r="Q489">
        <f>IF(J489&gt;=4,"High",IF(J489&gt;=3,"Medium","Low"))</f>
        <v>0</v>
      </c>
      <c r="R489">
        <f>IF(K489&lt;=5,"On Time","Delayed")</f>
        <v>0</v>
      </c>
    </row>
    <row r="490" spans="1:18">
      <c r="A490">
        <f>RAW_DATA!A490</f>
        <v>0</v>
      </c>
      <c r="B490">
        <f>RAW_DATA!B490</f>
        <v>0</v>
      </c>
      <c r="C490">
        <f>RAW_DATA!C490</f>
        <v>0</v>
      </c>
      <c r="D490">
        <f>RAW_DATA!D490</f>
        <v>0</v>
      </c>
      <c r="E490">
        <f>RAW_DATA!E490</f>
        <v>0</v>
      </c>
      <c r="F490">
        <f>RAW_DATA!F490</f>
        <v>0</v>
      </c>
      <c r="G490">
        <f>RAW_DATA!G490</f>
        <v>0</v>
      </c>
      <c r="H490">
        <f>RAW_DATA!H490</f>
        <v>0</v>
      </c>
      <c r="I490">
        <f>RAW_DATA!I490</f>
        <v>0</v>
      </c>
      <c r="J490">
        <f>RAW_DATA!J490</f>
        <v>0</v>
      </c>
      <c r="K490">
        <f>RAW_DATA!K490</f>
        <v>0</v>
      </c>
      <c r="L490">
        <f>RAW_DATA!L490</f>
        <v>0</v>
      </c>
      <c r="M490">
        <f>H490*I490</f>
        <v>0</v>
      </c>
      <c r="N490">
        <f>ISOWEEKNUM(B490)</f>
        <v>0</v>
      </c>
      <c r="O490">
        <f>TEXT(B490,"mmm")</f>
        <v>0</v>
      </c>
      <c r="P490">
        <f>"Q"&amp;ROUNDUP(MONTH(B490)/3,0)</f>
        <v>0</v>
      </c>
      <c r="Q490">
        <f>IF(J490&gt;=4,"High",IF(J490&gt;=3,"Medium","Low"))</f>
        <v>0</v>
      </c>
      <c r="R490">
        <f>IF(K490&lt;=5,"On Time","Delayed")</f>
        <v>0</v>
      </c>
    </row>
    <row r="491" spans="1:18">
      <c r="A491">
        <f>RAW_DATA!A491</f>
        <v>0</v>
      </c>
      <c r="B491">
        <f>RAW_DATA!B491</f>
        <v>0</v>
      </c>
      <c r="C491">
        <f>RAW_DATA!C491</f>
        <v>0</v>
      </c>
      <c r="D491">
        <f>RAW_DATA!D491</f>
        <v>0</v>
      </c>
      <c r="E491">
        <f>RAW_DATA!E491</f>
        <v>0</v>
      </c>
      <c r="F491">
        <f>RAW_DATA!F491</f>
        <v>0</v>
      </c>
      <c r="G491">
        <f>RAW_DATA!G491</f>
        <v>0</v>
      </c>
      <c r="H491">
        <f>RAW_DATA!H491</f>
        <v>0</v>
      </c>
      <c r="I491">
        <f>RAW_DATA!I491</f>
        <v>0</v>
      </c>
      <c r="J491">
        <f>RAW_DATA!J491</f>
        <v>0</v>
      </c>
      <c r="K491">
        <f>RAW_DATA!K491</f>
        <v>0</v>
      </c>
      <c r="L491">
        <f>RAW_DATA!L491</f>
        <v>0</v>
      </c>
      <c r="M491">
        <f>H491*I491</f>
        <v>0</v>
      </c>
      <c r="N491">
        <f>ISOWEEKNUM(B491)</f>
        <v>0</v>
      </c>
      <c r="O491">
        <f>TEXT(B491,"mmm")</f>
        <v>0</v>
      </c>
      <c r="P491">
        <f>"Q"&amp;ROUNDUP(MONTH(B491)/3,0)</f>
        <v>0</v>
      </c>
      <c r="Q491">
        <f>IF(J491&gt;=4,"High",IF(J491&gt;=3,"Medium","Low"))</f>
        <v>0</v>
      </c>
      <c r="R491">
        <f>IF(K491&lt;=5,"On Time","Delayed")</f>
        <v>0</v>
      </c>
    </row>
    <row r="492" spans="1:18">
      <c r="A492">
        <f>RAW_DATA!A492</f>
        <v>0</v>
      </c>
      <c r="B492">
        <f>RAW_DATA!B492</f>
        <v>0</v>
      </c>
      <c r="C492">
        <f>RAW_DATA!C492</f>
        <v>0</v>
      </c>
      <c r="D492">
        <f>RAW_DATA!D492</f>
        <v>0</v>
      </c>
      <c r="E492">
        <f>RAW_DATA!E492</f>
        <v>0</v>
      </c>
      <c r="F492">
        <f>RAW_DATA!F492</f>
        <v>0</v>
      </c>
      <c r="G492">
        <f>RAW_DATA!G492</f>
        <v>0</v>
      </c>
      <c r="H492">
        <f>RAW_DATA!H492</f>
        <v>0</v>
      </c>
      <c r="I492">
        <f>RAW_DATA!I492</f>
        <v>0</v>
      </c>
      <c r="J492">
        <f>RAW_DATA!J492</f>
        <v>0</v>
      </c>
      <c r="K492">
        <f>RAW_DATA!K492</f>
        <v>0</v>
      </c>
      <c r="L492">
        <f>RAW_DATA!L492</f>
        <v>0</v>
      </c>
      <c r="M492">
        <f>H492*I492</f>
        <v>0</v>
      </c>
      <c r="N492">
        <f>ISOWEEKNUM(B492)</f>
        <v>0</v>
      </c>
      <c r="O492">
        <f>TEXT(B492,"mmm")</f>
        <v>0</v>
      </c>
      <c r="P492">
        <f>"Q"&amp;ROUNDUP(MONTH(B492)/3,0)</f>
        <v>0</v>
      </c>
      <c r="Q492">
        <f>IF(J492&gt;=4,"High",IF(J492&gt;=3,"Medium","Low"))</f>
        <v>0</v>
      </c>
      <c r="R492">
        <f>IF(K492&lt;=5,"On Time","Delayed")</f>
        <v>0</v>
      </c>
    </row>
    <row r="493" spans="1:18">
      <c r="A493">
        <f>RAW_DATA!A493</f>
        <v>0</v>
      </c>
      <c r="B493">
        <f>RAW_DATA!B493</f>
        <v>0</v>
      </c>
      <c r="C493">
        <f>RAW_DATA!C493</f>
        <v>0</v>
      </c>
      <c r="D493">
        <f>RAW_DATA!D493</f>
        <v>0</v>
      </c>
      <c r="E493">
        <f>RAW_DATA!E493</f>
        <v>0</v>
      </c>
      <c r="F493">
        <f>RAW_DATA!F493</f>
        <v>0</v>
      </c>
      <c r="G493">
        <f>RAW_DATA!G493</f>
        <v>0</v>
      </c>
      <c r="H493">
        <f>RAW_DATA!H493</f>
        <v>0</v>
      </c>
      <c r="I493">
        <f>RAW_DATA!I493</f>
        <v>0</v>
      </c>
      <c r="J493">
        <f>RAW_DATA!J493</f>
        <v>0</v>
      </c>
      <c r="K493">
        <f>RAW_DATA!K493</f>
        <v>0</v>
      </c>
      <c r="L493">
        <f>RAW_DATA!L493</f>
        <v>0</v>
      </c>
      <c r="M493">
        <f>H493*I493</f>
        <v>0</v>
      </c>
      <c r="N493">
        <f>ISOWEEKNUM(B493)</f>
        <v>0</v>
      </c>
      <c r="O493">
        <f>TEXT(B493,"mmm")</f>
        <v>0</v>
      </c>
      <c r="P493">
        <f>"Q"&amp;ROUNDUP(MONTH(B493)/3,0)</f>
        <v>0</v>
      </c>
      <c r="Q493">
        <f>IF(J493&gt;=4,"High",IF(J493&gt;=3,"Medium","Low"))</f>
        <v>0</v>
      </c>
      <c r="R493">
        <f>IF(K493&lt;=5,"On Time","Delayed")</f>
        <v>0</v>
      </c>
    </row>
    <row r="494" spans="1:18">
      <c r="A494">
        <f>RAW_DATA!A494</f>
        <v>0</v>
      </c>
      <c r="B494">
        <f>RAW_DATA!B494</f>
        <v>0</v>
      </c>
      <c r="C494">
        <f>RAW_DATA!C494</f>
        <v>0</v>
      </c>
      <c r="D494">
        <f>RAW_DATA!D494</f>
        <v>0</v>
      </c>
      <c r="E494">
        <f>RAW_DATA!E494</f>
        <v>0</v>
      </c>
      <c r="F494">
        <f>RAW_DATA!F494</f>
        <v>0</v>
      </c>
      <c r="G494">
        <f>RAW_DATA!G494</f>
        <v>0</v>
      </c>
      <c r="H494">
        <f>RAW_DATA!H494</f>
        <v>0</v>
      </c>
      <c r="I494">
        <f>RAW_DATA!I494</f>
        <v>0</v>
      </c>
      <c r="J494">
        <f>RAW_DATA!J494</f>
        <v>0</v>
      </c>
      <c r="K494">
        <f>RAW_DATA!K494</f>
        <v>0</v>
      </c>
      <c r="L494">
        <f>RAW_DATA!L494</f>
        <v>0</v>
      </c>
      <c r="M494">
        <f>H494*I494</f>
        <v>0</v>
      </c>
      <c r="N494">
        <f>ISOWEEKNUM(B494)</f>
        <v>0</v>
      </c>
      <c r="O494">
        <f>TEXT(B494,"mmm")</f>
        <v>0</v>
      </c>
      <c r="P494">
        <f>"Q"&amp;ROUNDUP(MONTH(B494)/3,0)</f>
        <v>0</v>
      </c>
      <c r="Q494">
        <f>IF(J494&gt;=4,"High",IF(J494&gt;=3,"Medium","Low"))</f>
        <v>0</v>
      </c>
      <c r="R494">
        <f>IF(K494&lt;=5,"On Time","Delayed")</f>
        <v>0</v>
      </c>
    </row>
    <row r="495" spans="1:18">
      <c r="A495">
        <f>RAW_DATA!A495</f>
        <v>0</v>
      </c>
      <c r="B495">
        <f>RAW_DATA!B495</f>
        <v>0</v>
      </c>
      <c r="C495">
        <f>RAW_DATA!C495</f>
        <v>0</v>
      </c>
      <c r="D495">
        <f>RAW_DATA!D495</f>
        <v>0</v>
      </c>
      <c r="E495">
        <f>RAW_DATA!E495</f>
        <v>0</v>
      </c>
      <c r="F495">
        <f>RAW_DATA!F495</f>
        <v>0</v>
      </c>
      <c r="G495">
        <f>RAW_DATA!G495</f>
        <v>0</v>
      </c>
      <c r="H495">
        <f>RAW_DATA!H495</f>
        <v>0</v>
      </c>
      <c r="I495">
        <f>RAW_DATA!I495</f>
        <v>0</v>
      </c>
      <c r="J495">
        <f>RAW_DATA!J495</f>
        <v>0</v>
      </c>
      <c r="K495">
        <f>RAW_DATA!K495</f>
        <v>0</v>
      </c>
      <c r="L495">
        <f>RAW_DATA!L495</f>
        <v>0</v>
      </c>
      <c r="M495">
        <f>H495*I495</f>
        <v>0</v>
      </c>
      <c r="N495">
        <f>ISOWEEKNUM(B495)</f>
        <v>0</v>
      </c>
      <c r="O495">
        <f>TEXT(B495,"mmm")</f>
        <v>0</v>
      </c>
      <c r="P495">
        <f>"Q"&amp;ROUNDUP(MONTH(B495)/3,0)</f>
        <v>0</v>
      </c>
      <c r="Q495">
        <f>IF(J495&gt;=4,"High",IF(J495&gt;=3,"Medium","Low"))</f>
        <v>0</v>
      </c>
      <c r="R495">
        <f>IF(K495&lt;=5,"On Time","Delayed")</f>
        <v>0</v>
      </c>
    </row>
    <row r="496" spans="1:18">
      <c r="A496">
        <f>RAW_DATA!A496</f>
        <v>0</v>
      </c>
      <c r="B496">
        <f>RAW_DATA!B496</f>
        <v>0</v>
      </c>
      <c r="C496">
        <f>RAW_DATA!C496</f>
        <v>0</v>
      </c>
      <c r="D496">
        <f>RAW_DATA!D496</f>
        <v>0</v>
      </c>
      <c r="E496">
        <f>RAW_DATA!E496</f>
        <v>0</v>
      </c>
      <c r="F496">
        <f>RAW_DATA!F496</f>
        <v>0</v>
      </c>
      <c r="G496">
        <f>RAW_DATA!G496</f>
        <v>0</v>
      </c>
      <c r="H496">
        <f>RAW_DATA!H496</f>
        <v>0</v>
      </c>
      <c r="I496">
        <f>RAW_DATA!I496</f>
        <v>0</v>
      </c>
      <c r="J496">
        <f>RAW_DATA!J496</f>
        <v>0</v>
      </c>
      <c r="K496">
        <f>RAW_DATA!K496</f>
        <v>0</v>
      </c>
      <c r="L496">
        <f>RAW_DATA!L496</f>
        <v>0</v>
      </c>
      <c r="M496">
        <f>H496*I496</f>
        <v>0</v>
      </c>
      <c r="N496">
        <f>ISOWEEKNUM(B496)</f>
        <v>0</v>
      </c>
      <c r="O496">
        <f>TEXT(B496,"mmm")</f>
        <v>0</v>
      </c>
      <c r="P496">
        <f>"Q"&amp;ROUNDUP(MONTH(B496)/3,0)</f>
        <v>0</v>
      </c>
      <c r="Q496">
        <f>IF(J496&gt;=4,"High",IF(J496&gt;=3,"Medium","Low"))</f>
        <v>0</v>
      </c>
      <c r="R496">
        <f>IF(K496&lt;=5,"On Time","Delayed")</f>
        <v>0</v>
      </c>
    </row>
    <row r="497" spans="1:18">
      <c r="A497">
        <f>RAW_DATA!A497</f>
        <v>0</v>
      </c>
      <c r="B497">
        <f>RAW_DATA!B497</f>
        <v>0</v>
      </c>
      <c r="C497">
        <f>RAW_DATA!C497</f>
        <v>0</v>
      </c>
      <c r="D497">
        <f>RAW_DATA!D497</f>
        <v>0</v>
      </c>
      <c r="E497">
        <f>RAW_DATA!E497</f>
        <v>0</v>
      </c>
      <c r="F497">
        <f>RAW_DATA!F497</f>
        <v>0</v>
      </c>
      <c r="G497">
        <f>RAW_DATA!G497</f>
        <v>0</v>
      </c>
      <c r="H497">
        <f>RAW_DATA!H497</f>
        <v>0</v>
      </c>
      <c r="I497">
        <f>RAW_DATA!I497</f>
        <v>0</v>
      </c>
      <c r="J497">
        <f>RAW_DATA!J497</f>
        <v>0</v>
      </c>
      <c r="K497">
        <f>RAW_DATA!K497</f>
        <v>0</v>
      </c>
      <c r="L497">
        <f>RAW_DATA!L497</f>
        <v>0</v>
      </c>
      <c r="M497">
        <f>H497*I497</f>
        <v>0</v>
      </c>
      <c r="N497">
        <f>ISOWEEKNUM(B497)</f>
        <v>0</v>
      </c>
      <c r="O497">
        <f>TEXT(B497,"mmm")</f>
        <v>0</v>
      </c>
      <c r="P497">
        <f>"Q"&amp;ROUNDUP(MONTH(B497)/3,0)</f>
        <v>0</v>
      </c>
      <c r="Q497">
        <f>IF(J497&gt;=4,"High",IF(J497&gt;=3,"Medium","Low"))</f>
        <v>0</v>
      </c>
      <c r="R497">
        <f>IF(K497&lt;=5,"On Time","Delayed")</f>
        <v>0</v>
      </c>
    </row>
    <row r="498" spans="1:18">
      <c r="A498">
        <f>RAW_DATA!A498</f>
        <v>0</v>
      </c>
      <c r="B498">
        <f>RAW_DATA!B498</f>
        <v>0</v>
      </c>
      <c r="C498">
        <f>RAW_DATA!C498</f>
        <v>0</v>
      </c>
      <c r="D498">
        <f>RAW_DATA!D498</f>
        <v>0</v>
      </c>
      <c r="E498">
        <f>RAW_DATA!E498</f>
        <v>0</v>
      </c>
      <c r="F498">
        <f>RAW_DATA!F498</f>
        <v>0</v>
      </c>
      <c r="G498">
        <f>RAW_DATA!G498</f>
        <v>0</v>
      </c>
      <c r="H498">
        <f>RAW_DATA!H498</f>
        <v>0</v>
      </c>
      <c r="I498">
        <f>RAW_DATA!I498</f>
        <v>0</v>
      </c>
      <c r="J498">
        <f>RAW_DATA!J498</f>
        <v>0</v>
      </c>
      <c r="K498">
        <f>RAW_DATA!K498</f>
        <v>0</v>
      </c>
      <c r="L498">
        <f>RAW_DATA!L498</f>
        <v>0</v>
      </c>
      <c r="M498">
        <f>H498*I498</f>
        <v>0</v>
      </c>
      <c r="N498">
        <f>ISOWEEKNUM(B498)</f>
        <v>0</v>
      </c>
      <c r="O498">
        <f>TEXT(B498,"mmm")</f>
        <v>0</v>
      </c>
      <c r="P498">
        <f>"Q"&amp;ROUNDUP(MONTH(B498)/3,0)</f>
        <v>0</v>
      </c>
      <c r="Q498">
        <f>IF(J498&gt;=4,"High",IF(J498&gt;=3,"Medium","Low"))</f>
        <v>0</v>
      </c>
      <c r="R498">
        <f>IF(K498&lt;=5,"On Time","Delayed")</f>
        <v>0</v>
      </c>
    </row>
    <row r="499" spans="1:18">
      <c r="A499">
        <f>RAW_DATA!A499</f>
        <v>0</v>
      </c>
      <c r="B499">
        <f>RAW_DATA!B499</f>
        <v>0</v>
      </c>
      <c r="C499">
        <f>RAW_DATA!C499</f>
        <v>0</v>
      </c>
      <c r="D499">
        <f>RAW_DATA!D499</f>
        <v>0</v>
      </c>
      <c r="E499">
        <f>RAW_DATA!E499</f>
        <v>0</v>
      </c>
      <c r="F499">
        <f>RAW_DATA!F499</f>
        <v>0</v>
      </c>
      <c r="G499">
        <f>RAW_DATA!G499</f>
        <v>0</v>
      </c>
      <c r="H499">
        <f>RAW_DATA!H499</f>
        <v>0</v>
      </c>
      <c r="I499">
        <f>RAW_DATA!I499</f>
        <v>0</v>
      </c>
      <c r="J499">
        <f>RAW_DATA!J499</f>
        <v>0</v>
      </c>
      <c r="K499">
        <f>RAW_DATA!K499</f>
        <v>0</v>
      </c>
      <c r="L499">
        <f>RAW_DATA!L499</f>
        <v>0</v>
      </c>
      <c r="M499">
        <f>H499*I499</f>
        <v>0</v>
      </c>
      <c r="N499">
        <f>ISOWEEKNUM(B499)</f>
        <v>0</v>
      </c>
      <c r="O499">
        <f>TEXT(B499,"mmm")</f>
        <v>0</v>
      </c>
      <c r="P499">
        <f>"Q"&amp;ROUNDUP(MONTH(B499)/3,0)</f>
        <v>0</v>
      </c>
      <c r="Q499">
        <f>IF(J499&gt;=4,"High",IF(J499&gt;=3,"Medium","Low"))</f>
        <v>0</v>
      </c>
      <c r="R499">
        <f>IF(K499&lt;=5,"On Time","Delayed")</f>
        <v>0</v>
      </c>
    </row>
    <row r="500" spans="1:18">
      <c r="A500">
        <f>RAW_DATA!A500</f>
        <v>0</v>
      </c>
      <c r="B500">
        <f>RAW_DATA!B500</f>
        <v>0</v>
      </c>
      <c r="C500">
        <f>RAW_DATA!C500</f>
        <v>0</v>
      </c>
      <c r="D500">
        <f>RAW_DATA!D500</f>
        <v>0</v>
      </c>
      <c r="E500">
        <f>RAW_DATA!E500</f>
        <v>0</v>
      </c>
      <c r="F500">
        <f>RAW_DATA!F500</f>
        <v>0</v>
      </c>
      <c r="G500">
        <f>RAW_DATA!G500</f>
        <v>0</v>
      </c>
      <c r="H500">
        <f>RAW_DATA!H500</f>
        <v>0</v>
      </c>
      <c r="I500">
        <f>RAW_DATA!I500</f>
        <v>0</v>
      </c>
      <c r="J500">
        <f>RAW_DATA!J500</f>
        <v>0</v>
      </c>
      <c r="K500">
        <f>RAW_DATA!K500</f>
        <v>0</v>
      </c>
      <c r="L500">
        <f>RAW_DATA!L500</f>
        <v>0</v>
      </c>
      <c r="M500">
        <f>H500*I500</f>
        <v>0</v>
      </c>
      <c r="N500">
        <f>ISOWEEKNUM(B500)</f>
        <v>0</v>
      </c>
      <c r="O500">
        <f>TEXT(B500,"mmm")</f>
        <v>0</v>
      </c>
      <c r="P500">
        <f>"Q"&amp;ROUNDUP(MONTH(B500)/3,0)</f>
        <v>0</v>
      </c>
      <c r="Q500">
        <f>IF(J500&gt;=4,"High",IF(J500&gt;=3,"Medium","Low"))</f>
        <v>0</v>
      </c>
      <c r="R500">
        <f>IF(K500&lt;=5,"On Time","Delayed")</f>
        <v>0</v>
      </c>
    </row>
    <row r="501" spans="1:18">
      <c r="A501">
        <f>RAW_DATA!A501</f>
        <v>0</v>
      </c>
      <c r="B501">
        <f>RAW_DATA!B501</f>
        <v>0</v>
      </c>
      <c r="C501">
        <f>RAW_DATA!C501</f>
        <v>0</v>
      </c>
      <c r="D501">
        <f>RAW_DATA!D501</f>
        <v>0</v>
      </c>
      <c r="E501">
        <f>RAW_DATA!E501</f>
        <v>0</v>
      </c>
      <c r="F501">
        <f>RAW_DATA!F501</f>
        <v>0</v>
      </c>
      <c r="G501">
        <f>RAW_DATA!G501</f>
        <v>0</v>
      </c>
      <c r="H501">
        <f>RAW_DATA!H501</f>
        <v>0</v>
      </c>
      <c r="I501">
        <f>RAW_DATA!I501</f>
        <v>0</v>
      </c>
      <c r="J501">
        <f>RAW_DATA!J501</f>
        <v>0</v>
      </c>
      <c r="K501">
        <f>RAW_DATA!K501</f>
        <v>0</v>
      </c>
      <c r="L501">
        <f>RAW_DATA!L501</f>
        <v>0</v>
      </c>
      <c r="M501">
        <f>H501*I501</f>
        <v>0</v>
      </c>
      <c r="N501">
        <f>ISOWEEKNUM(B501)</f>
        <v>0</v>
      </c>
      <c r="O501">
        <f>TEXT(B501,"mmm")</f>
        <v>0</v>
      </c>
      <c r="P501">
        <f>"Q"&amp;ROUNDUP(MONTH(B501)/3,0)</f>
        <v>0</v>
      </c>
      <c r="Q501">
        <f>IF(J501&gt;=4,"High",IF(J501&gt;=3,"Medium","Low"))</f>
        <v>0</v>
      </c>
      <c r="R501">
        <f>IF(K501&lt;=5,"On Time","Delayed")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pans="1:14">
      <c r="A1" s="1" t="s">
        <v>1013</v>
      </c>
      <c r="D1" s="1" t="s">
        <v>1016</v>
      </c>
      <c r="G1" s="1" t="s">
        <v>1017</v>
      </c>
      <c r="J1" s="1" t="s">
        <v>1018</v>
      </c>
      <c r="M1" s="1" t="s">
        <v>1020</v>
      </c>
    </row>
    <row r="2" spans="1:14">
      <c r="A2" s="1" t="s">
        <v>1014</v>
      </c>
      <c r="B2" s="1" t="s">
        <v>1015</v>
      </c>
      <c r="D2" s="1" t="s">
        <v>11</v>
      </c>
      <c r="E2" s="1" t="s">
        <v>1007</v>
      </c>
      <c r="G2" s="1" t="s">
        <v>5</v>
      </c>
      <c r="H2" s="1" t="s">
        <v>1007</v>
      </c>
      <c r="J2" s="1" t="s">
        <v>3</v>
      </c>
      <c r="K2" s="1" t="s">
        <v>1019</v>
      </c>
      <c r="M2" s="1" t="s">
        <v>4</v>
      </c>
      <c r="N2" s="1" t="s">
        <v>1007</v>
      </c>
    </row>
    <row r="3" spans="1:14">
      <c r="A3">
        <v>1</v>
      </c>
      <c r="B3">
        <f>SUMIFS(DATA_CLEANING!$M:$M, DATA_CLEANING!$N:$N, A3)</f>
        <v>0</v>
      </c>
      <c r="D3" t="s">
        <v>49</v>
      </c>
      <c r="E3">
        <f>SUMIFS(DATA_CLEANING!$M:$M, DATA_CLEANING!$L:$L, "Organic")</f>
        <v>0</v>
      </c>
      <c r="G3" t="s">
        <v>65</v>
      </c>
      <c r="H3">
        <f>SUMIFS(DATA_CLEANING!$M:$M, DATA_CLEANING!$F:$F, "Laptop")</f>
        <v>0</v>
      </c>
      <c r="J3" t="s">
        <v>52</v>
      </c>
      <c r="K3">
        <f>COUNTIFS(DATA_CLEANING!$D:$D, "Male")</f>
        <v>0</v>
      </c>
      <c r="M3" t="s">
        <v>15</v>
      </c>
      <c r="N3">
        <f>SUMIFS(DATA_CLEANING!$M:$M, DATA_CLEANING!$E:$E, "North")</f>
        <v>0</v>
      </c>
    </row>
    <row r="4" spans="1:14">
      <c r="A4">
        <v>2</v>
      </c>
      <c r="B4">
        <f>SUMIFS(DATA_CLEANING!$M:$M, DATA_CLEANING!$N:$N, A4)</f>
        <v>0</v>
      </c>
      <c r="D4" t="s">
        <v>18</v>
      </c>
      <c r="E4">
        <f>SUMIFS(DATA_CLEANING!$M:$M, DATA_CLEANING!$L:$L, "Paid Search")</f>
        <v>0</v>
      </c>
      <c r="G4" t="s">
        <v>16</v>
      </c>
      <c r="H4">
        <f>SUMIFS(DATA_CLEANING!$M:$M, DATA_CLEANING!$F:$F, "Smartphone")</f>
        <v>0</v>
      </c>
      <c r="J4" t="s">
        <v>21</v>
      </c>
      <c r="K4">
        <f>COUNTIFS(DATA_CLEANING!$D:$D, "Female")</f>
        <v>0</v>
      </c>
      <c r="M4" t="s">
        <v>31</v>
      </c>
      <c r="N4">
        <f>SUMIFS(DATA_CLEANING!$M:$M, DATA_CLEANING!$E:$E, "South")</f>
        <v>0</v>
      </c>
    </row>
    <row r="5" spans="1:14">
      <c r="A5">
        <v>3</v>
      </c>
      <c r="B5">
        <f>SUMIFS(DATA_CLEANING!$M:$M, DATA_CLEANING!$N:$N, A5)</f>
        <v>0</v>
      </c>
      <c r="D5" t="s">
        <v>28</v>
      </c>
      <c r="E5">
        <f>SUMIFS(DATA_CLEANING!$M:$M, DATA_CLEANING!$L:$L, "Social")</f>
        <v>0</v>
      </c>
      <c r="G5" t="s">
        <v>44</v>
      </c>
      <c r="H5">
        <f>SUMIFS(DATA_CLEANING!$M:$M, DATA_CLEANING!$F:$F, "Tablet")</f>
        <v>0</v>
      </c>
      <c r="J5" t="s">
        <v>14</v>
      </c>
      <c r="K5">
        <f>COUNTIFS(DATA_CLEANING!$D:$D, "Other")</f>
        <v>0</v>
      </c>
      <c r="M5" t="s">
        <v>22</v>
      </c>
      <c r="N5">
        <f>SUMIFS(DATA_CLEANING!$M:$M, DATA_CLEANING!$E:$E, "East")</f>
        <v>0</v>
      </c>
    </row>
    <row r="6" spans="1:14">
      <c r="A6">
        <v>4</v>
      </c>
      <c r="B6">
        <f>SUMIFS(DATA_CLEANING!$M:$M, DATA_CLEANING!$N:$N, A6)</f>
        <v>0</v>
      </c>
      <c r="D6" t="s">
        <v>33</v>
      </c>
      <c r="E6">
        <f>SUMIFS(DATA_CLEANING!$M:$M, DATA_CLEANING!$L:$L, "Direct")</f>
        <v>0</v>
      </c>
      <c r="G6" t="s">
        <v>32</v>
      </c>
      <c r="H6">
        <f>SUMIFS(DATA_CLEANING!$M:$M, DATA_CLEANING!$F:$F, "Monitor")</f>
        <v>0</v>
      </c>
      <c r="M6" t="s">
        <v>27</v>
      </c>
      <c r="N6">
        <f>SUMIFS(DATA_CLEANING!$M:$M, DATA_CLEANING!$E:$E, "West")</f>
        <v>0</v>
      </c>
    </row>
    <row r="7" spans="1:14">
      <c r="A7">
        <v>5</v>
      </c>
      <c r="B7">
        <f>SUMIFS(DATA_CLEANING!$M:$M, DATA_CLEANING!$N:$N, A7)</f>
        <v>0</v>
      </c>
      <c r="G7" t="s">
        <v>23</v>
      </c>
      <c r="H7">
        <f>SUMIFS(DATA_CLEANING!$M:$M, DATA_CLEANING!$F:$F, "Headphones")</f>
        <v>0</v>
      </c>
    </row>
    <row r="8" spans="1:14">
      <c r="A8">
        <v>6</v>
      </c>
      <c r="B8">
        <f>SUMIFS(DATA_CLEANING!$M:$M, DATA_CLEANING!$N:$N, A8)</f>
        <v>0</v>
      </c>
    </row>
    <row r="9" spans="1:14">
      <c r="A9">
        <v>7</v>
      </c>
      <c r="B9">
        <f>SUMIFS(DATA_CLEANING!$M:$M, DATA_CLEANING!$N:$N, A9)</f>
        <v>0</v>
      </c>
    </row>
    <row r="10" spans="1:14">
      <c r="A10">
        <v>8</v>
      </c>
      <c r="B10">
        <f>SUMIFS(DATA_CLEANING!$M:$M, DATA_CLEANING!$N:$N, A10)</f>
        <v>0</v>
      </c>
    </row>
    <row r="11" spans="1:14">
      <c r="A11">
        <v>9</v>
      </c>
      <c r="B11">
        <f>SUMIFS(DATA_CLEANING!$M:$M, DATA_CLEANING!$N:$N, A11)</f>
        <v>0</v>
      </c>
    </row>
    <row r="12" spans="1:14">
      <c r="A12">
        <v>10</v>
      </c>
      <c r="B12">
        <f>SUMIFS(DATA_CLEANING!$M:$M, DATA_CLEANING!$N:$N, A12)</f>
        <v>0</v>
      </c>
    </row>
    <row r="13" spans="1:14">
      <c r="A13">
        <v>11</v>
      </c>
      <c r="B13">
        <f>SUMIFS(DATA_CLEANING!$M:$M, DATA_CLEANING!$N:$N, A13)</f>
        <v>0</v>
      </c>
    </row>
    <row r="14" spans="1:14">
      <c r="A14">
        <v>12</v>
      </c>
      <c r="B14">
        <f>SUMIFS(DATA_CLEANING!$M:$M, DATA_CLEANING!$N:$N, A14)</f>
        <v>0</v>
      </c>
    </row>
    <row r="15" spans="1:14">
      <c r="A15">
        <v>13</v>
      </c>
      <c r="B15">
        <f>SUMIFS(DATA_CLEANING!$M:$M, DATA_CLEANING!$N:$N, A15)</f>
        <v>0</v>
      </c>
    </row>
    <row r="16" spans="1:14">
      <c r="A16">
        <v>14</v>
      </c>
      <c r="B16">
        <f>SUMIFS(DATA_CLEANING!$M:$M, DATA_CLEANING!$N:$N, A16)</f>
        <v>0</v>
      </c>
    </row>
    <row r="17" spans="1:2">
      <c r="A17">
        <v>15</v>
      </c>
      <c r="B17">
        <f>SUMIFS(DATA_CLEANING!$M:$M, DATA_CLEANING!$N:$N, A17)</f>
        <v>0</v>
      </c>
    </row>
    <row r="18" spans="1:2">
      <c r="A18">
        <v>16</v>
      </c>
      <c r="B18">
        <f>SUMIFS(DATA_CLEANING!$M:$M, DATA_CLEANING!$N:$N, A18)</f>
        <v>0</v>
      </c>
    </row>
    <row r="19" spans="1:2">
      <c r="A19">
        <v>17</v>
      </c>
      <c r="B19">
        <f>SUMIFS(DATA_CLEANING!$M:$M, DATA_CLEANING!$N:$N, A19)</f>
        <v>0</v>
      </c>
    </row>
    <row r="20" spans="1:2">
      <c r="A20">
        <v>18</v>
      </c>
      <c r="B20">
        <f>SUMIFS(DATA_CLEANING!$M:$M, DATA_CLEANING!$N:$N, A20)</f>
        <v>0</v>
      </c>
    </row>
    <row r="21" spans="1:2">
      <c r="A21">
        <v>19</v>
      </c>
      <c r="B21">
        <f>SUMIFS(DATA_CLEANING!$M:$M, DATA_CLEANING!$N:$N, A21)</f>
        <v>0</v>
      </c>
    </row>
    <row r="22" spans="1:2">
      <c r="A22">
        <v>20</v>
      </c>
      <c r="B22">
        <f>SUMIFS(DATA_CLEANING!$M:$M, DATA_CLEANING!$N:$N, A22)</f>
        <v>0</v>
      </c>
    </row>
    <row r="23" spans="1:2">
      <c r="A23">
        <v>21</v>
      </c>
      <c r="B23">
        <f>SUMIFS(DATA_CLEANING!$M:$M, DATA_CLEANING!$N:$N, A23)</f>
        <v>0</v>
      </c>
    </row>
    <row r="24" spans="1:2">
      <c r="A24">
        <v>22</v>
      </c>
      <c r="B24">
        <f>SUMIFS(DATA_CLEANING!$M:$M, DATA_CLEANING!$N:$N, A24)</f>
        <v>0</v>
      </c>
    </row>
    <row r="25" spans="1:2">
      <c r="A25">
        <v>23</v>
      </c>
      <c r="B25">
        <f>SUMIFS(DATA_CLEANING!$M:$M, DATA_CLEANING!$N:$N, A25)</f>
        <v>0</v>
      </c>
    </row>
    <row r="26" spans="1:2">
      <c r="A26">
        <v>24</v>
      </c>
      <c r="B26">
        <f>SUMIFS(DATA_CLEANING!$M:$M, DATA_CLEANING!$N:$N, A26)</f>
        <v>0</v>
      </c>
    </row>
    <row r="27" spans="1:2">
      <c r="A27">
        <v>25</v>
      </c>
      <c r="B27">
        <f>SUMIFS(DATA_CLEANING!$M:$M, DATA_CLEANING!$N:$N, A27)</f>
        <v>0</v>
      </c>
    </row>
    <row r="28" spans="1:2">
      <c r="A28">
        <v>26</v>
      </c>
      <c r="B28">
        <f>SUMIFS(DATA_CLEANING!$M:$M, DATA_CLEANING!$N:$N, A28)</f>
        <v>0</v>
      </c>
    </row>
    <row r="29" spans="1:2">
      <c r="A29">
        <v>27</v>
      </c>
      <c r="B29">
        <f>SUMIFS(DATA_CLEANING!$M:$M, DATA_CLEANING!$N:$N, A29)</f>
        <v>0</v>
      </c>
    </row>
    <row r="30" spans="1:2">
      <c r="A30">
        <v>28</v>
      </c>
      <c r="B30">
        <f>SUMIFS(DATA_CLEANING!$M:$M, DATA_CLEANING!$N:$N, A30)</f>
        <v>0</v>
      </c>
    </row>
    <row r="31" spans="1:2">
      <c r="A31">
        <v>29</v>
      </c>
      <c r="B31">
        <f>SUMIFS(DATA_CLEANING!$M:$M, DATA_CLEANING!$N:$N, A31)</f>
        <v>0</v>
      </c>
    </row>
    <row r="32" spans="1:2">
      <c r="A32">
        <v>30</v>
      </c>
      <c r="B32">
        <f>SUMIFS(DATA_CLEANING!$M:$M, DATA_CLEANING!$N:$N, A32)</f>
        <v>0</v>
      </c>
    </row>
    <row r="33" spans="1:2">
      <c r="A33">
        <v>31</v>
      </c>
      <c r="B33">
        <f>SUMIFS(DATA_CLEANING!$M:$M, DATA_CLEANING!$N:$N, A33)</f>
        <v>0</v>
      </c>
    </row>
    <row r="34" spans="1:2">
      <c r="A34">
        <v>32</v>
      </c>
      <c r="B34">
        <f>SUMIFS(DATA_CLEANING!$M:$M, DATA_CLEANING!$N:$N, A34)</f>
        <v>0</v>
      </c>
    </row>
    <row r="35" spans="1:2">
      <c r="A35">
        <v>33</v>
      </c>
      <c r="B35">
        <f>SUMIFS(DATA_CLEANING!$M:$M, DATA_CLEANING!$N:$N, A35)</f>
        <v>0</v>
      </c>
    </row>
    <row r="36" spans="1:2">
      <c r="A36">
        <v>34</v>
      </c>
      <c r="B36">
        <f>SUMIFS(DATA_CLEANING!$M:$M, DATA_CLEANING!$N:$N, A36)</f>
        <v>0</v>
      </c>
    </row>
    <row r="37" spans="1:2">
      <c r="A37">
        <v>35</v>
      </c>
      <c r="B37">
        <f>SUMIFS(DATA_CLEANING!$M:$M, DATA_CLEANING!$N:$N, A37)</f>
        <v>0</v>
      </c>
    </row>
    <row r="38" spans="1:2">
      <c r="A38">
        <v>36</v>
      </c>
      <c r="B38">
        <f>SUMIFS(DATA_CLEANING!$M:$M, DATA_CLEANING!$N:$N, A38)</f>
        <v>0</v>
      </c>
    </row>
    <row r="39" spans="1:2">
      <c r="A39">
        <v>37</v>
      </c>
      <c r="B39">
        <f>SUMIFS(DATA_CLEANING!$M:$M, DATA_CLEANING!$N:$N, A39)</f>
        <v>0</v>
      </c>
    </row>
    <row r="40" spans="1:2">
      <c r="A40">
        <v>38</v>
      </c>
      <c r="B40">
        <f>SUMIFS(DATA_CLEANING!$M:$M, DATA_CLEANING!$N:$N, A40)</f>
        <v>0</v>
      </c>
    </row>
    <row r="41" spans="1:2">
      <c r="A41">
        <v>39</v>
      </c>
      <c r="B41">
        <f>SUMIFS(DATA_CLEANING!$M:$M, DATA_CLEANING!$N:$N, A41)</f>
        <v>0</v>
      </c>
    </row>
    <row r="42" spans="1:2">
      <c r="A42">
        <v>40</v>
      </c>
      <c r="B42">
        <f>SUMIFS(DATA_CLEANING!$M:$M, DATA_CLEANING!$N:$N, A42)</f>
        <v>0</v>
      </c>
    </row>
    <row r="43" spans="1:2">
      <c r="A43">
        <v>41</v>
      </c>
      <c r="B43">
        <f>SUMIFS(DATA_CLEANING!$M:$M, DATA_CLEANING!$N:$N, A43)</f>
        <v>0</v>
      </c>
    </row>
    <row r="44" spans="1:2">
      <c r="A44">
        <v>42</v>
      </c>
      <c r="B44">
        <f>SUMIFS(DATA_CLEANING!$M:$M, DATA_CLEANING!$N:$N, A44)</f>
        <v>0</v>
      </c>
    </row>
    <row r="45" spans="1:2">
      <c r="A45">
        <v>43</v>
      </c>
      <c r="B45">
        <f>SUMIFS(DATA_CLEANING!$M:$M, DATA_CLEANING!$N:$N, A45)</f>
        <v>0</v>
      </c>
    </row>
    <row r="46" spans="1:2">
      <c r="A46">
        <v>44</v>
      </c>
      <c r="B46">
        <f>SUMIFS(DATA_CLEANING!$M:$M, DATA_CLEANING!$N:$N, A46)</f>
        <v>0</v>
      </c>
    </row>
    <row r="47" spans="1:2">
      <c r="A47">
        <v>45</v>
      </c>
      <c r="B47">
        <f>SUMIFS(DATA_CLEANING!$M:$M, DATA_CLEANING!$N:$N, A47)</f>
        <v>0</v>
      </c>
    </row>
    <row r="48" spans="1:2">
      <c r="A48">
        <v>46</v>
      </c>
      <c r="B48">
        <f>SUMIFS(DATA_CLEANING!$M:$M, DATA_CLEANING!$N:$N, A48)</f>
        <v>0</v>
      </c>
    </row>
    <row r="49" spans="1:2">
      <c r="A49">
        <v>47</v>
      </c>
      <c r="B49">
        <f>SUMIFS(DATA_CLEANING!$M:$M, DATA_CLEANING!$N:$N, A49)</f>
        <v>0</v>
      </c>
    </row>
    <row r="50" spans="1:2">
      <c r="A50">
        <v>48</v>
      </c>
      <c r="B50">
        <f>SUMIFS(DATA_CLEANING!$M:$M, DATA_CLEANING!$N:$N, A50)</f>
        <v>0</v>
      </c>
    </row>
    <row r="51" spans="1:2">
      <c r="A51">
        <v>49</v>
      </c>
      <c r="B51">
        <f>SUMIFS(DATA_CLEANING!$M:$M, DATA_CLEANING!$N:$N, A51)</f>
        <v>0</v>
      </c>
    </row>
    <row r="52" spans="1:2">
      <c r="A52">
        <v>50</v>
      </c>
      <c r="B52">
        <f>SUMIFS(DATA_CLEANING!$M:$M, DATA_CLEANING!$N:$N, A52)</f>
        <v>0</v>
      </c>
    </row>
    <row r="53" spans="1:2">
      <c r="A53">
        <v>51</v>
      </c>
      <c r="B53">
        <f>SUMIFS(DATA_CLEANING!$M:$M, DATA_CLEANING!$N:$N, A53)</f>
        <v>0</v>
      </c>
    </row>
    <row r="54" spans="1:2">
      <c r="A54">
        <v>52</v>
      </c>
      <c r="B54">
        <f>SUMIFS(DATA_CLEANING!$M:$M, DATA_CLEANING!$N:$N, A54)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1021</v>
      </c>
      <c r="B1" s="1" t="s">
        <v>1022</v>
      </c>
    </row>
    <row r="2" spans="1:2">
      <c r="A2" t="s">
        <v>1023</v>
      </c>
      <c r="B2">
        <f>COUNTA(RAW_DATA!A:A)-1</f>
        <v>0</v>
      </c>
    </row>
    <row r="3" spans="1:2">
      <c r="A3" t="s">
        <v>1024</v>
      </c>
      <c r="B3">
        <f>SUM(DATA_CLEANING!H:H)</f>
        <v>0</v>
      </c>
    </row>
    <row r="4" spans="1:2">
      <c r="A4" t="s">
        <v>1025</v>
      </c>
      <c r="B4">
        <f>SUM(DATA_CLEANING!M:M)</f>
        <v>0</v>
      </c>
    </row>
    <row r="5" spans="1:2">
      <c r="A5" t="s">
        <v>1026</v>
      </c>
      <c r="B5">
        <f>AVERAGE(DATA_CLEANING!J:J)</f>
        <v>0</v>
      </c>
    </row>
    <row r="6" spans="1:2">
      <c r="A6" t="s">
        <v>1027</v>
      </c>
      <c r="B6">
        <f>AVERAGE(DATA_CLEANING!K:K)</f>
        <v>0</v>
      </c>
    </row>
    <row r="7" spans="1:2">
      <c r="A7" t="s">
        <v>1028</v>
      </c>
      <c r="B7">
        <v>125</v>
      </c>
    </row>
    <row r="8" spans="1:2">
      <c r="A8" t="s">
        <v>1029</v>
      </c>
      <c r="B8"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0"/>
  <sheetViews>
    <sheetView showGridLines="0" workbookViewId="0"/>
  </sheetViews>
  <sheetFormatPr defaultRowHeight="15"/>
  <cols>
    <col min="1" max="1" width="3.7109375" customWidth="1"/>
    <col min="14" max="16" width="25.7109375" customWidth="1"/>
  </cols>
  <sheetData>
    <row r="1" spans="1:14" s="3" customFormat="1">
      <c r="A1" s="4" t="s">
        <v>1030</v>
      </c>
    </row>
    <row r="2" spans="1:14" s="3" customFormat="1"/>
    <row r="3" spans="1:14" s="3" customFormat="1">
      <c r="B3" s="5" t="s">
        <v>1023</v>
      </c>
      <c r="D3" s="5" t="s">
        <v>1025</v>
      </c>
      <c r="F3" s="5" t="s">
        <v>1024</v>
      </c>
      <c r="H3" s="5" t="s">
        <v>1026</v>
      </c>
      <c r="J3" s="5" t="s">
        <v>1027</v>
      </c>
      <c r="N3" s="6" t="s">
        <v>1035</v>
      </c>
    </row>
    <row r="4" spans="1:14" s="3" customFormat="1">
      <c r="B4" s="7">
        <f>KPI_ENGINE!B2</f>
        <v>0</v>
      </c>
      <c r="D4" s="8">
        <f>KPI_ENGINE!B4</f>
        <v>0</v>
      </c>
      <c r="F4" s="7">
        <f>KPI_ENGINE!B3</f>
        <v>0</v>
      </c>
      <c r="H4" s="7">
        <f>KPI_ENGINE!B5</f>
        <v>0</v>
      </c>
      <c r="J4" s="7">
        <f>KPI_ENGINE!B6</f>
        <v>0</v>
      </c>
      <c r="N4" s="9">
        <f>AI_INSIGHTS!B2</f>
        <v>0</v>
      </c>
    </row>
    <row r="5" spans="1:14" s="3" customFormat="1">
      <c r="N5" s="9">
        <f>AI_INSIGHTS!B3</f>
        <v>0</v>
      </c>
    </row>
    <row r="6" spans="1:14" s="3" customFormat="1">
      <c r="N6" s="9">
        <f>AI_INSIGHTS!B4</f>
        <v>0</v>
      </c>
    </row>
    <row r="7" spans="1:14" s="3" customFormat="1"/>
    <row r="8" spans="1:14" s="3" customFormat="1"/>
    <row r="9" spans="1:14" s="3" customFormat="1"/>
    <row r="10" spans="1:14" s="3" customFormat="1"/>
    <row r="11" spans="1:14" s="3" customFormat="1"/>
    <row r="12" spans="1:14" s="3" customFormat="1"/>
    <row r="13" spans="1:14" s="3" customFormat="1"/>
    <row r="14" spans="1:14" s="3" customFormat="1"/>
    <row r="15" spans="1:14" s="3" customFormat="1"/>
    <row r="16" spans="1:14" s="3" customFormat="1"/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  <row r="28" s="3" customFormat="1"/>
    <row r="29" s="3" customFormat="1"/>
    <row r="30" s="3" customFormat="1"/>
    <row r="31" s="3" customFormat="1"/>
    <row r="32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1031</v>
      </c>
    </row>
    <row r="2" spans="1:2">
      <c r="A2" t="s">
        <v>1032</v>
      </c>
      <c r="B2">
        <f>IF(KPI_ENGINE!B8&gt;0,"Sales growth is positive ("&amp;TEXT(KPI_ENGINE!B8,"0.0%")&amp;")","Sales require attention")</f>
        <v>0</v>
      </c>
    </row>
    <row r="3" spans="1:2">
      <c r="A3" t="s">
        <v>1033</v>
      </c>
      <c r="B3">
        <f>IF(KPI_ENGINE!B6&gt;5,"Warning: Delivery times are slipping ("&amp;ROUND(KPI_ENGINE!B6,1)&amp;" days)","Delivery performance is optimal")</f>
        <v>0</v>
      </c>
    </row>
    <row r="4" spans="1:2">
      <c r="A4" t="s">
        <v>1034</v>
      </c>
      <c r="B4">
        <f>IF(KPI_ENGINE!B5&lt;4,"Flag: Average rating dropped below 4.0","Customer satisfaction is stable")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DATA_CLEANING</vt:lpstr>
      <vt:lpstr>PIVOT_ENGINE</vt:lpstr>
      <vt:lpstr>KPI_ENGINE</vt:lpstr>
      <vt:lpstr>DASHBOARD</vt:lpstr>
      <vt:lpstr>AI_INSIGHTS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2026-04-28T07:39:28Z</dcterms:created>
  <dcterms:modified xsi:type="dcterms:W3CDTF">2026-04-28T07:39:28Z</dcterms:modified>
</cp:coreProperties>
</file>